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financeph-my.sharepoint.com/personal/ruffa_gonzales_homecredit_ph/Documents/Desktop/Ruffa's HR Files/PCD/Talent Management/Career Development/LIFT MDP/LIFT MDP IALP/Ruffa's ALP/"/>
    </mc:Choice>
  </mc:AlternateContent>
  <xr:revisionPtr revIDLastSave="343" documentId="8_{A13DC7CA-FDD8-4BAD-A68E-14A3AFAA022B}" xr6:coauthVersionLast="47" xr6:coauthVersionMax="47" xr10:uidLastSave="{110C425F-9F0B-49A5-AE64-632C8D490EFE}"/>
  <bookViews>
    <workbookView xWindow="-110" yWindow="-110" windowWidth="19420" windowHeight="11500" firstSheet="1" activeTab="1" xr2:uid="{A0C90B8E-8653-4168-A6E2-6C0944C28DF3}"/>
  </bookViews>
  <sheets>
    <sheet name="v1" sheetId="1" state="hidden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2" l="1"/>
  <c r="C34" i="2" s="1"/>
  <c r="F18" i="2"/>
  <c r="F17" i="2"/>
  <c r="F16" i="2"/>
  <c r="E59" i="2"/>
  <c r="E58" i="2"/>
  <c r="E44" i="2"/>
  <c r="E43" i="2"/>
  <c r="C33" i="2"/>
  <c r="G31" i="2"/>
  <c r="F31" i="2"/>
  <c r="E31" i="2"/>
  <c r="Q20" i="2"/>
  <c r="N20" i="2"/>
  <c r="L20" i="2"/>
  <c r="Q19" i="2"/>
  <c r="N19" i="2"/>
  <c r="L19" i="2"/>
  <c r="N15" i="2"/>
  <c r="L15" i="2"/>
  <c r="Q14" i="2"/>
  <c r="N14" i="2"/>
  <c r="L14" i="2"/>
  <c r="N13" i="2"/>
  <c r="L13" i="2"/>
  <c r="D12" i="2"/>
  <c r="D11" i="2"/>
  <c r="Q10" i="2"/>
  <c r="Q13" i="2" s="1"/>
  <c r="D10" i="2"/>
  <c r="F34" i="2" l="1"/>
  <c r="G34" i="2"/>
  <c r="N16" i="2"/>
  <c r="L16" i="2"/>
  <c r="L17" i="2" s="1"/>
  <c r="C32" i="2"/>
  <c r="G32" i="2" s="1"/>
  <c r="G38" i="2" s="1"/>
  <c r="E34" i="2"/>
  <c r="N17" i="2"/>
  <c r="O20" i="2"/>
  <c r="O19" i="2"/>
  <c r="F32" i="2"/>
  <c r="Q15" i="2"/>
  <c r="Q16" i="2" s="1"/>
  <c r="E37" i="1"/>
  <c r="F37" i="1"/>
  <c r="G37" i="1"/>
  <c r="Q10" i="1"/>
  <c r="Q20" i="1"/>
  <c r="Q19" i="1"/>
  <c r="Q15" i="1"/>
  <c r="Q14" i="1"/>
  <c r="Q13" i="1"/>
  <c r="Q16" i="1" s="1"/>
  <c r="Q17" i="1" s="1"/>
  <c r="C35" i="1"/>
  <c r="C36" i="1"/>
  <c r="E65" i="1"/>
  <c r="E64" i="1"/>
  <c r="F38" i="2" l="1"/>
  <c r="F48" i="2" s="1"/>
  <c r="E32" i="2"/>
  <c r="E38" i="2" s="1"/>
  <c r="G39" i="2" s="1"/>
  <c r="G40" i="2" s="1"/>
  <c r="G6" i="2" s="1"/>
  <c r="R19" i="2"/>
  <c r="Q17" i="2"/>
  <c r="R20" i="2"/>
  <c r="R19" i="1"/>
  <c r="R20" i="1"/>
  <c r="N20" i="1"/>
  <c r="N19" i="1"/>
  <c r="N15" i="1"/>
  <c r="N14" i="1"/>
  <c r="N13" i="1"/>
  <c r="L20" i="1"/>
  <c r="L19" i="1"/>
  <c r="L15" i="1"/>
  <c r="L14" i="1"/>
  <c r="L13" i="1"/>
  <c r="C33" i="1"/>
  <c r="G40" i="1"/>
  <c r="F40" i="1"/>
  <c r="E40" i="1"/>
  <c r="G38" i="1"/>
  <c r="F38" i="1"/>
  <c r="E38" i="1"/>
  <c r="E49" i="1"/>
  <c r="E48" i="1"/>
  <c r="C39" i="1"/>
  <c r="F39" i="2" l="1"/>
  <c r="F40" i="2" s="1"/>
  <c r="E50" i="2" s="1"/>
  <c r="E49" i="2"/>
  <c r="F49" i="2" s="1"/>
  <c r="F50" i="2" s="1"/>
  <c r="G5" i="2"/>
  <c r="N16" i="1"/>
  <c r="L16" i="1"/>
  <c r="L17" i="1" s="1"/>
  <c r="N17" i="1" l="1"/>
  <c r="O20" i="1"/>
  <c r="O19" i="1"/>
  <c r="C31" i="1"/>
  <c r="C30" i="1" s="1"/>
  <c r="G29" i="1"/>
  <c r="G33" i="1" s="1"/>
  <c r="F29" i="1"/>
  <c r="F33" i="1" s="1"/>
  <c r="E29" i="1"/>
  <c r="E33" i="1" s="1"/>
  <c r="D15" i="1"/>
  <c r="D12" i="1"/>
  <c r="D11" i="1"/>
  <c r="D10" i="1"/>
  <c r="F30" i="1" l="1"/>
  <c r="E30" i="1"/>
  <c r="E43" i="1" s="1"/>
  <c r="G30" i="1"/>
  <c r="G43" i="1" s="1"/>
  <c r="F43" i="1" l="1"/>
  <c r="E55" i="1"/>
  <c r="G53" i="1"/>
  <c r="F53" i="1"/>
  <c r="G44" i="1"/>
  <c r="G45" i="1" s="1"/>
  <c r="G6" i="1" s="1"/>
  <c r="F44" i="1"/>
  <c r="F45" i="1" s="1"/>
  <c r="G5" i="1" l="1"/>
  <c r="E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Ruffa Gayla Gonzales (PH)</author>
  </authors>
  <commentList>
    <comment ref="B32" authorId="0" shapeId="0" xr:uid="{F57D35BA-B145-4177-865C-03B7E5B0C6D2}">
      <text>
        <r>
          <rPr>
            <b/>
            <sz val="9"/>
            <color indexed="81"/>
            <rFont val="Tahoma"/>
            <charset val="1"/>
          </rPr>
          <t>Ruffa Gayla Gonzales (PH):</t>
        </r>
        <r>
          <rPr>
            <sz val="9"/>
            <color indexed="81"/>
            <rFont val="Tahoma"/>
            <charset val="1"/>
          </rPr>
          <t xml:space="preserve">
remove</t>
        </r>
      </text>
    </comment>
    <comment ref="B35" authorId="0" shapeId="0" xr:uid="{3E3658BA-47F2-49B8-8D37-B091D38D40B3}">
      <text>
        <r>
          <rPr>
            <b/>
            <sz val="9"/>
            <color indexed="81"/>
            <rFont val="Tahoma"/>
            <charset val="1"/>
          </rPr>
          <t>Ruffa Gayla Gonzales (PH):</t>
        </r>
        <r>
          <rPr>
            <sz val="9"/>
            <color indexed="81"/>
            <rFont val="Tahoma"/>
            <charset val="1"/>
          </rPr>
          <t xml:space="preserve">
this is cost to company</t>
        </r>
      </text>
    </comment>
  </commentList>
</comments>
</file>

<file path=xl/sharedStrings.xml><?xml version="1.0" encoding="utf-8"?>
<sst xmlns="http://schemas.openxmlformats.org/spreadsheetml/2006/main" count="168" uniqueCount="91">
  <si>
    <t>Project Cost</t>
  </si>
  <si>
    <t>Current Internal Mobility Rate</t>
  </si>
  <si>
    <t>Target Internal Mobility Rate</t>
  </si>
  <si>
    <t>30% to 50%</t>
  </si>
  <si>
    <t>Contribution Margin</t>
  </si>
  <si>
    <t>Savings - Cost</t>
  </si>
  <si>
    <t>Build + Run + Opportunity</t>
  </si>
  <si>
    <t>Ave. Non-Mass Hirings Per Year</t>
  </si>
  <si>
    <t>2023 to 2026 Non-Mass Vacancies</t>
  </si>
  <si>
    <t>2023 to 2026 Internal Applicants</t>
  </si>
  <si>
    <t>Accepted</t>
  </si>
  <si>
    <t>Rejected in 2025</t>
  </si>
  <si>
    <t>Resigned</t>
  </si>
  <si>
    <t>Ave. Attrition</t>
  </si>
  <si>
    <t>Replacement Cost of excess (43-17)</t>
  </si>
  <si>
    <t>MyPulse enps on growth</t>
  </si>
  <si>
    <t>Do Nothing/ Stay at 17%</t>
  </si>
  <si>
    <t>Internal Fills per year</t>
  </si>
  <si>
    <t>Vacancy Days Saved per year</t>
  </si>
  <si>
    <t>Hiring Cost Avoided per year</t>
  </si>
  <si>
    <t>Turnover Avoided per year</t>
  </si>
  <si>
    <t>30%  Benchmark</t>
  </si>
  <si>
    <t>50% Mature Marketplace</t>
  </si>
  <si>
    <t>Band C hire cost</t>
  </si>
  <si>
    <t>Less: Band B backfill cost</t>
  </si>
  <si>
    <t xml:space="preserve">Attrition beyond ave </t>
  </si>
  <si>
    <t xml:space="preserve">Replacement cost </t>
  </si>
  <si>
    <t>Leads Needed to hit 30% fill rate</t>
  </si>
  <si>
    <t>Leads Needed to hit 50% fill rate</t>
  </si>
  <si>
    <t>Hires</t>
  </si>
  <si>
    <t>Success rate</t>
  </si>
  <si>
    <t>Applicants needed per year</t>
  </si>
  <si>
    <t>Turnover Avoided = Internal fills per yr × Attrition beyond ave × Replacement cost
                 = Internal fills per yr × 26% × ₱508,194
                 = Internal fills per yr × ₱132,130.44</t>
  </si>
  <si>
    <t>Per-fill constant: 26% × ₱508,194 = ₱132,130.44 per internal fill</t>
  </si>
  <si>
    <t>Internal Fills (336 x rate)</t>
  </si>
  <si>
    <t>Total</t>
  </si>
  <si>
    <t>Baseline</t>
  </si>
  <si>
    <t>How much we're losing</t>
  </si>
  <si>
    <t>Incremental per year</t>
  </si>
  <si>
    <t>How many hires to breakeven?</t>
  </si>
  <si>
    <t>IT Man Hours</t>
  </si>
  <si>
    <t>one off</t>
  </si>
  <si>
    <t>AI Matching</t>
  </si>
  <si>
    <t>yearly</t>
  </si>
  <si>
    <t>HR reconciliation, year 2 onward</t>
  </si>
  <si>
    <t>Year 1 total</t>
  </si>
  <si>
    <t>Year 2</t>
  </si>
  <si>
    <t>Year 3</t>
  </si>
  <si>
    <t>3 Year Total</t>
  </si>
  <si>
    <t>Gloat/ Fuel50</t>
  </si>
  <si>
    <t>Eightfold/ Workday TM</t>
  </si>
  <si>
    <t>cost per employee per yr</t>
  </si>
  <si>
    <t>x 3 years</t>
  </si>
  <si>
    <t>All data are org-wide except cost?</t>
  </si>
  <si>
    <t>Pilot</t>
  </si>
  <si>
    <t>Org Wide</t>
  </si>
  <si>
    <t>Employees</t>
  </si>
  <si>
    <t>Email</t>
  </si>
  <si>
    <t>Platform, monitoring</t>
  </si>
  <si>
    <t>Value per internal fill?</t>
  </si>
  <si>
    <t>Hires for Pilot</t>
  </si>
  <si>
    <t>Applicants for pilot</t>
  </si>
  <si>
    <t>Value per fill = ₱15,017 + (15% × ₱508,397) = ₱15,017 + ₱76,260 = ₱91,276</t>
  </si>
  <si>
    <t>Payback period</t>
  </si>
  <si>
    <t>Bands</t>
  </si>
  <si>
    <t>External</t>
  </si>
  <si>
    <t>Internal</t>
  </si>
  <si>
    <t>Band C</t>
  </si>
  <si>
    <t>177 days</t>
  </si>
  <si>
    <t>135 days</t>
  </si>
  <si>
    <t>Bands C + D combined</t>
  </si>
  <si>
    <t>151 days</t>
  </si>
  <si>
    <t>82 days</t>
  </si>
  <si>
    <t>Time to hire</t>
  </si>
  <si>
    <t xml:space="preserve"> Hiring internally is 69 days faster (151 vs 82)</t>
  </si>
  <si>
    <t>Less: Ave. Band B salary backfill salary x 69 days</t>
  </si>
  <si>
    <t>Ave Band C salary x 69 days</t>
  </si>
  <si>
    <t>Non-Mass Only</t>
  </si>
  <si>
    <t>*MUFG anecdote</t>
  </si>
  <si>
    <t>total net revenue/ ave revenue per employee</t>
  </si>
  <si>
    <t>weigted ave of bands B &amp; C basic salary of replacement employee</t>
  </si>
  <si>
    <t>consider removing</t>
  </si>
  <si>
    <t>Do Nothing</t>
  </si>
  <si>
    <t>Org wide</t>
  </si>
  <si>
    <t>Non-Mass</t>
  </si>
  <si>
    <t>Band C hiring cost</t>
  </si>
  <si>
    <t>Revenue Lost Due to Vacancy</t>
  </si>
  <si>
    <t>Ave revenue per employee x 69 days</t>
  </si>
  <si>
    <t>Rejected</t>
  </si>
  <si>
    <t>with Career as Top Reason</t>
  </si>
  <si>
    <t>0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</si>
</sst>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7"/>
      <color rgb="FF242424"/>
      <name val="Aptos"/>
      <family val="2"/>
    </font>
    <font>
      <sz val="7"/>
      <color rgb="FF424242"/>
      <name val="Apto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9" fontId="0" fillId="0" borderId="0" xfId="0" applyNumberFormat="1"/>
    <xf numFmtId="9" fontId="0" fillId="0" borderId="0" xfId="2" applyFont="1"/>
    <xf numFmtId="9" fontId="3" fillId="0" borderId="0" xfId="2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" fontId="0" fillId="0" borderId="0" xfId="0" applyNumberFormat="1"/>
    <xf numFmtId="164" fontId="0" fillId="0" borderId="0" xfId="1" applyNumberFormat="1" applyFont="1"/>
    <xf numFmtId="164" fontId="4" fillId="0" borderId="0" xfId="1" applyNumberFormat="1" applyFont="1"/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4" fillId="0" borderId="0" xfId="0" applyFont="1"/>
    <xf numFmtId="164" fontId="0" fillId="0" borderId="0" xfId="0" applyNumberFormat="1"/>
    <xf numFmtId="0" fontId="0" fillId="2" borderId="0" xfId="0" applyFill="1"/>
    <xf numFmtId="164" fontId="0" fillId="2" borderId="0" xfId="1" applyNumberFormat="1" applyFont="1" applyFill="1"/>
    <xf numFmtId="43" fontId="0" fillId="2" borderId="0" xfId="1" applyFont="1" applyFill="1"/>
    <xf numFmtId="164" fontId="0" fillId="2" borderId="0" xfId="0" applyNumberFormat="1" applyFill="1"/>
    <xf numFmtId="43" fontId="0" fillId="2" borderId="0" xfId="0" applyNumberFormat="1" applyFill="1"/>
    <xf numFmtId="0" fontId="4" fillId="0" borderId="0" xfId="0" applyFont="1" applyAlignment="1">
      <alignment horizontal="left" indent="1"/>
    </xf>
    <xf numFmtId="3" fontId="0" fillId="0" borderId="0" xfId="0" applyNumberFormat="1"/>
    <xf numFmtId="3" fontId="2" fillId="0" borderId="0" xfId="0" applyNumberFormat="1" applyFont="1"/>
    <xf numFmtId="43" fontId="0" fillId="0" borderId="0" xfId="0" applyNumberFormat="1"/>
    <xf numFmtId="0" fontId="4" fillId="0" borderId="0" xfId="0" applyFont="1" applyAlignment="1">
      <alignment wrapText="1"/>
    </xf>
    <xf numFmtId="0" fontId="3" fillId="0" borderId="0" xfId="0" applyFont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43" fontId="3" fillId="3" borderId="0" xfId="0" applyNumberFormat="1" applyFont="1" applyFill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/>
    <xf numFmtId="0" fontId="0" fillId="4" borderId="0" xfId="0" applyFill="1"/>
    <xf numFmtId="0" fontId="2" fillId="0" borderId="0" xfId="0" applyFont="1"/>
    <xf numFmtId="0" fontId="4" fillId="4" borderId="0" xfId="0" applyFont="1" applyFill="1" applyAlignment="1">
      <alignment wrapText="1"/>
    </xf>
    <xf numFmtId="9" fontId="0" fillId="4" borderId="0" xfId="0" applyNumberFormat="1" applyFill="1"/>
    <xf numFmtId="0" fontId="5" fillId="6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0" fillId="7" borderId="0" xfId="0" applyFill="1" applyAlignment="1">
      <alignment horizontal="left" indent="1"/>
    </xf>
    <xf numFmtId="0" fontId="0" fillId="7" borderId="0" xfId="0" applyFill="1"/>
    <xf numFmtId="164" fontId="4" fillId="0" borderId="0" xfId="1" applyNumberFormat="1" applyFont="1" applyFill="1"/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317E-DC42-45DC-906C-660D58820E85}">
  <dimension ref="B2:R65"/>
  <sheetViews>
    <sheetView topLeftCell="A28" workbookViewId="0">
      <selection activeCell="B41" sqref="B41"/>
    </sheetView>
  </sheetViews>
  <sheetFormatPr defaultRowHeight="14.5" x14ac:dyDescent="0.35"/>
  <cols>
    <col min="2" max="2" width="40.54296875" customWidth="1"/>
    <col min="3" max="3" width="13.36328125" bestFit="1" customWidth="1"/>
    <col min="5" max="5" width="23.90625" customWidth="1"/>
    <col min="6" max="6" width="18.54296875" customWidth="1"/>
    <col min="7" max="7" width="16.1796875" customWidth="1"/>
    <col min="10" max="10" width="27" bestFit="1" customWidth="1"/>
    <col min="12" max="12" width="13.81640625" bestFit="1" customWidth="1"/>
    <col min="13" max="13" width="3.453125" customWidth="1"/>
    <col min="14" max="14" width="24.26953125" customWidth="1"/>
    <col min="17" max="17" width="18.26953125" customWidth="1"/>
  </cols>
  <sheetData>
    <row r="2" spans="2:18" x14ac:dyDescent="0.35">
      <c r="H2" t="s">
        <v>4</v>
      </c>
      <c r="K2" t="s">
        <v>0</v>
      </c>
    </row>
    <row r="3" spans="2:18" x14ac:dyDescent="0.35">
      <c r="B3" t="s">
        <v>1</v>
      </c>
      <c r="C3" s="1">
        <v>0.17</v>
      </c>
      <c r="H3" t="s">
        <v>5</v>
      </c>
      <c r="K3" t="s">
        <v>6</v>
      </c>
    </row>
    <row r="4" spans="2:18" x14ac:dyDescent="0.35">
      <c r="B4" t="s">
        <v>2</v>
      </c>
      <c r="C4" t="s">
        <v>3</v>
      </c>
      <c r="D4" t="s">
        <v>78</v>
      </c>
    </row>
    <row r="5" spans="2:18" x14ac:dyDescent="0.35">
      <c r="B5" t="s">
        <v>15</v>
      </c>
      <c r="C5" s="1">
        <v>0.88</v>
      </c>
      <c r="G5" s="12">
        <f>F45</f>
        <v>44169596.496000007</v>
      </c>
      <c r="H5" s="1">
        <v>0.3</v>
      </c>
      <c r="L5" t="s">
        <v>54</v>
      </c>
      <c r="N5" s="37" t="s">
        <v>55</v>
      </c>
      <c r="O5" s="21"/>
      <c r="Q5" s="37" t="s">
        <v>77</v>
      </c>
      <c r="R5" s="21"/>
    </row>
    <row r="6" spans="2:18" x14ac:dyDescent="0.35">
      <c r="G6" s="12">
        <f>G45</f>
        <v>112112267.07600001</v>
      </c>
      <c r="H6" s="1">
        <v>0.5</v>
      </c>
      <c r="J6" t="s">
        <v>56</v>
      </c>
      <c r="L6" s="7">
        <v>1113</v>
      </c>
      <c r="M6" s="7"/>
      <c r="N6" s="7">
        <v>20470</v>
      </c>
      <c r="Q6" s="7">
        <v>1986</v>
      </c>
    </row>
    <row r="7" spans="2:18" x14ac:dyDescent="0.35">
      <c r="B7" t="s">
        <v>7</v>
      </c>
      <c r="C7">
        <v>336</v>
      </c>
      <c r="J7" t="s">
        <v>40</v>
      </c>
      <c r="K7" s="31" t="s">
        <v>41</v>
      </c>
      <c r="L7" s="7">
        <v>1785500</v>
      </c>
      <c r="M7" s="7"/>
      <c r="N7" s="7">
        <v>1785500</v>
      </c>
      <c r="Q7" s="7">
        <v>1785500</v>
      </c>
    </row>
    <row r="8" spans="2:18" x14ac:dyDescent="0.35">
      <c r="J8" t="s">
        <v>42</v>
      </c>
      <c r="K8" t="s">
        <v>43</v>
      </c>
      <c r="L8" s="7">
        <v>40544</v>
      </c>
      <c r="M8" s="7"/>
      <c r="N8" s="7">
        <v>745674</v>
      </c>
      <c r="Q8" s="7">
        <v>72345</v>
      </c>
    </row>
    <row r="9" spans="2:18" x14ac:dyDescent="0.35">
      <c r="B9" t="s">
        <v>8</v>
      </c>
      <c r="C9">
        <v>1008</v>
      </c>
      <c r="J9" t="s">
        <v>57</v>
      </c>
      <c r="K9" t="s">
        <v>43</v>
      </c>
      <c r="L9" s="7">
        <v>15987</v>
      </c>
      <c r="M9" s="7"/>
      <c r="N9" s="7">
        <v>294035</v>
      </c>
      <c r="Q9" s="7">
        <v>28527</v>
      </c>
    </row>
    <row r="10" spans="2:18" x14ac:dyDescent="0.35">
      <c r="B10" s="4" t="s">
        <v>9</v>
      </c>
      <c r="C10">
        <v>463</v>
      </c>
      <c r="D10" s="2">
        <f>C10/C9</f>
        <v>0.4593253968253968</v>
      </c>
      <c r="J10" t="s">
        <v>58</v>
      </c>
      <c r="K10" t="s">
        <v>43</v>
      </c>
      <c r="L10" s="7">
        <v>25620</v>
      </c>
      <c r="M10" s="7"/>
      <c r="N10" s="7">
        <v>76860</v>
      </c>
      <c r="Q10" s="7">
        <f>7320+18300</f>
        <v>25620</v>
      </c>
    </row>
    <row r="11" spans="2:18" x14ac:dyDescent="0.35">
      <c r="B11" s="4" t="s">
        <v>10</v>
      </c>
      <c r="C11">
        <v>170</v>
      </c>
      <c r="D11" s="2">
        <f>C11/C10</f>
        <v>0.367170626349892</v>
      </c>
      <c r="J11" t="s">
        <v>44</v>
      </c>
      <c r="K11" t="s">
        <v>43</v>
      </c>
      <c r="L11" s="7">
        <v>9000</v>
      </c>
      <c r="M11" s="7"/>
      <c r="N11" s="7">
        <v>60000</v>
      </c>
      <c r="Q11" s="7">
        <v>9000</v>
      </c>
    </row>
    <row r="12" spans="2:18" x14ac:dyDescent="0.35">
      <c r="B12" s="4"/>
      <c r="D12" s="3">
        <f>C11/C9</f>
        <v>0.16865079365079366</v>
      </c>
    </row>
    <row r="13" spans="2:18" x14ac:dyDescent="0.35">
      <c r="B13" s="4"/>
      <c r="J13" t="s">
        <v>45</v>
      </c>
      <c r="L13" s="19">
        <f>SUM(L7:L11)</f>
        <v>1876651</v>
      </c>
      <c r="N13" s="19">
        <f>SUM(N7:N11)</f>
        <v>2962069</v>
      </c>
      <c r="Q13" s="19">
        <f>SUM(Q7:Q11)</f>
        <v>1920992</v>
      </c>
    </row>
    <row r="14" spans="2:18" x14ac:dyDescent="0.35">
      <c r="B14" s="4" t="s">
        <v>11</v>
      </c>
      <c r="C14">
        <v>67</v>
      </c>
      <c r="J14" t="s">
        <v>46</v>
      </c>
      <c r="L14" s="12">
        <f>SUM(L8:L11)</f>
        <v>91151</v>
      </c>
      <c r="N14" s="12">
        <f>SUM(N8:N11)</f>
        <v>1176569</v>
      </c>
      <c r="Q14" s="12">
        <f>SUM(Q8:Q11)</f>
        <v>135492</v>
      </c>
    </row>
    <row r="15" spans="2:18" x14ac:dyDescent="0.35">
      <c r="B15" s="5" t="s">
        <v>12</v>
      </c>
      <c r="C15">
        <v>29</v>
      </c>
      <c r="D15" s="2">
        <f>C15/C14</f>
        <v>0.43283582089552236</v>
      </c>
      <c r="J15" t="s">
        <v>47</v>
      </c>
      <c r="L15" s="12">
        <f>SUM(L8:L11)</f>
        <v>91151</v>
      </c>
      <c r="N15" s="12">
        <f>SUM(N8:N11)</f>
        <v>1176569</v>
      </c>
      <c r="Q15" s="12">
        <f>SUM(Q8:Q11)</f>
        <v>135492</v>
      </c>
    </row>
    <row r="16" spans="2:18" x14ac:dyDescent="0.35">
      <c r="J16" s="23" t="s">
        <v>48</v>
      </c>
      <c r="K16" s="23"/>
      <c r="L16" s="29">
        <f>SUM(L13:L15)</f>
        <v>2058953</v>
      </c>
      <c r="N16" s="29">
        <f>SUM(N13:N15)</f>
        <v>5315207</v>
      </c>
      <c r="Q16" s="29">
        <f>SUM(Q13:Q15)</f>
        <v>2191976</v>
      </c>
    </row>
    <row r="17" spans="2:18" x14ac:dyDescent="0.35">
      <c r="B17" s="4" t="s">
        <v>13</v>
      </c>
      <c r="C17" s="1">
        <v>0.17</v>
      </c>
      <c r="J17" t="s">
        <v>51</v>
      </c>
      <c r="L17" s="7">
        <f>L16/1113/3</f>
        <v>616.63761605271043</v>
      </c>
      <c r="N17" s="7">
        <f>N16/1113/3</f>
        <v>1591.8559448936805</v>
      </c>
      <c r="Q17" s="7">
        <f>Q16/1113/3</f>
        <v>656.47678945792154</v>
      </c>
    </row>
    <row r="19" spans="2:18" x14ac:dyDescent="0.35">
      <c r="B19" t="s">
        <v>14</v>
      </c>
      <c r="J19" t="s">
        <v>49</v>
      </c>
      <c r="L19" s="7">
        <f>175000*61</f>
        <v>10675000</v>
      </c>
      <c r="N19" s="7">
        <f>((12*N6*3)+(70000))*61</f>
        <v>49222120</v>
      </c>
      <c r="O19" s="21">
        <f>N19/N16</f>
        <v>9.2606214583928708</v>
      </c>
      <c r="Q19" s="7">
        <f>((12*Q6*3)+(70000))*61</f>
        <v>8631256</v>
      </c>
      <c r="R19" s="21">
        <f>Q19/Q16</f>
        <v>3.9376599013857816</v>
      </c>
    </row>
    <row r="20" spans="2:18" x14ac:dyDescent="0.35">
      <c r="J20" t="s">
        <v>50</v>
      </c>
      <c r="L20" s="7">
        <f>480000*61</f>
        <v>29280000</v>
      </c>
      <c r="N20" s="7">
        <f>((30*N6*3)+(250000))*61</f>
        <v>127630300</v>
      </c>
      <c r="O20" s="21">
        <f>N20/N16</f>
        <v>24.012291525052554</v>
      </c>
      <c r="Q20" s="7">
        <f>((30*Q6*3)+(250000))*61</f>
        <v>26153140</v>
      </c>
      <c r="R20" s="21">
        <f>Q20/Q16</f>
        <v>11.931307642054476</v>
      </c>
    </row>
    <row r="24" spans="2:18" x14ac:dyDescent="0.35">
      <c r="B24" s="23" t="s">
        <v>37</v>
      </c>
    </row>
    <row r="26" spans="2:18" ht="29" x14ac:dyDescent="0.35">
      <c r="E26" s="27" t="s">
        <v>16</v>
      </c>
      <c r="F26" s="28" t="s">
        <v>21</v>
      </c>
      <c r="G26" s="28" t="s">
        <v>22</v>
      </c>
    </row>
    <row r="29" spans="2:18" x14ac:dyDescent="0.35">
      <c r="B29" t="s">
        <v>17</v>
      </c>
      <c r="E29" s="6">
        <f>C7*17%</f>
        <v>57.120000000000005</v>
      </c>
      <c r="F29" s="6">
        <f>C7*30%</f>
        <v>100.8</v>
      </c>
      <c r="G29" s="6">
        <f>C7*50%</f>
        <v>168</v>
      </c>
    </row>
    <row r="30" spans="2:18" x14ac:dyDescent="0.35">
      <c r="B30" s="13" t="s">
        <v>19</v>
      </c>
      <c r="C30" s="14">
        <f>C31-C32</f>
        <v>25012</v>
      </c>
      <c r="D30" s="13"/>
      <c r="E30" s="15">
        <f>E29*$C$30</f>
        <v>1428685.4400000002</v>
      </c>
      <c r="F30" s="15">
        <f>F29*$C$30</f>
        <v>2521209.6</v>
      </c>
      <c r="G30" s="15">
        <f>G29*$C$30</f>
        <v>4202016</v>
      </c>
    </row>
    <row r="31" spans="2:18" x14ac:dyDescent="0.35">
      <c r="B31" s="4" t="s">
        <v>23</v>
      </c>
      <c r="C31" s="8">
        <f>35367-3378</f>
        <v>31989</v>
      </c>
      <c r="E31" s="6"/>
      <c r="F31" s="6"/>
      <c r="G31" s="6"/>
    </row>
    <row r="32" spans="2:18" x14ac:dyDescent="0.35">
      <c r="B32" s="36" t="s">
        <v>24</v>
      </c>
      <c r="C32" s="8">
        <v>6977</v>
      </c>
      <c r="E32" s="6"/>
      <c r="F32" s="6"/>
      <c r="G32" s="6"/>
    </row>
    <row r="33" spans="2:9" x14ac:dyDescent="0.35">
      <c r="B33" s="13" t="s">
        <v>18</v>
      </c>
      <c r="C33" s="16">
        <f>C35-C36</f>
        <v>179889.90000000002</v>
      </c>
      <c r="D33" s="13"/>
      <c r="E33" s="17">
        <f>E29*$C$33</f>
        <v>10275311.088000001</v>
      </c>
      <c r="F33" s="17">
        <f t="shared" ref="F33:G33" si="0">F29*$C$33</f>
        <v>18132901.920000002</v>
      </c>
      <c r="G33" s="17">
        <f t="shared" si="0"/>
        <v>30221503.200000003</v>
      </c>
    </row>
    <row r="34" spans="2:9" x14ac:dyDescent="0.35">
      <c r="B34" s="9" t="s">
        <v>74</v>
      </c>
    </row>
    <row r="35" spans="2:9" x14ac:dyDescent="0.35">
      <c r="B35" s="10" t="s">
        <v>76</v>
      </c>
      <c r="C35" s="8">
        <f>4284.05*69</f>
        <v>295599.45</v>
      </c>
      <c r="I35" s="37" t="s">
        <v>79</v>
      </c>
    </row>
    <row r="36" spans="2:9" ht="29" x14ac:dyDescent="0.35">
      <c r="B36" s="10" t="s">
        <v>75</v>
      </c>
      <c r="C36" s="8">
        <f>1676.95*69</f>
        <v>115709.55</v>
      </c>
    </row>
    <row r="37" spans="2:9" x14ac:dyDescent="0.35">
      <c r="B37" s="13" t="s">
        <v>20</v>
      </c>
      <c r="C37" s="13"/>
      <c r="D37" s="13"/>
      <c r="E37" s="17">
        <f>$C$40*E39</f>
        <v>7546680.8999999994</v>
      </c>
      <c r="F37" s="17">
        <f t="shared" ref="F37:G37" si="1">$C$40*F39</f>
        <v>13319764.74</v>
      </c>
      <c r="G37" s="17">
        <f t="shared" si="1"/>
        <v>22197913.919999998</v>
      </c>
      <c r="I37" t="s">
        <v>81</v>
      </c>
    </row>
    <row r="38" spans="2:9" x14ac:dyDescent="0.35">
      <c r="B38" s="18" t="s">
        <v>34</v>
      </c>
      <c r="E38" s="6">
        <f>336*17%</f>
        <v>57.120000000000005</v>
      </c>
      <c r="F38" s="6">
        <f>336*30%</f>
        <v>100.8</v>
      </c>
      <c r="G38" s="6">
        <f>336*50%</f>
        <v>168</v>
      </c>
    </row>
    <row r="39" spans="2:9" x14ac:dyDescent="0.35">
      <c r="B39" s="18" t="s">
        <v>25</v>
      </c>
      <c r="C39" s="1">
        <f>43%-17%</f>
        <v>0.26</v>
      </c>
      <c r="E39" s="6">
        <v>14.85</v>
      </c>
      <c r="F39" s="6">
        <v>26.21</v>
      </c>
      <c r="G39" s="6">
        <v>43.68</v>
      </c>
    </row>
    <row r="40" spans="2:9" x14ac:dyDescent="0.35">
      <c r="B40" s="18" t="s">
        <v>26</v>
      </c>
      <c r="C40" s="7">
        <v>508194</v>
      </c>
      <c r="E40" s="12">
        <f>$C$40*E39</f>
        <v>7546680.8999999994</v>
      </c>
      <c r="F40" s="12">
        <f t="shared" ref="F40:G40" si="2">$C$40*F39</f>
        <v>13319764.74</v>
      </c>
      <c r="G40" s="12">
        <f t="shared" si="2"/>
        <v>22197913.919999998</v>
      </c>
    </row>
    <row r="41" spans="2:9" ht="65.5" customHeight="1" x14ac:dyDescent="0.35">
      <c r="B41" s="22" t="s">
        <v>32</v>
      </c>
      <c r="C41" s="11" t="s">
        <v>33</v>
      </c>
      <c r="H41" t="s">
        <v>80</v>
      </c>
    </row>
    <row r="43" spans="2:9" x14ac:dyDescent="0.35">
      <c r="B43" s="24" t="s">
        <v>35</v>
      </c>
      <c r="C43" s="25"/>
      <c r="D43" s="25"/>
      <c r="E43" s="26">
        <f>SUM(E37,E33,E30)</f>
        <v>19250677.428000003</v>
      </c>
      <c r="F43" s="26">
        <f t="shared" ref="F43:G43" si="3">SUM(F37,F33,F30)</f>
        <v>33973876.260000005</v>
      </c>
      <c r="G43" s="26">
        <f t="shared" si="3"/>
        <v>56621433.120000005</v>
      </c>
    </row>
    <row r="44" spans="2:9" x14ac:dyDescent="0.35">
      <c r="B44" s="24" t="s">
        <v>38</v>
      </c>
      <c r="C44" s="25"/>
      <c r="D44" s="25"/>
      <c r="E44" s="25" t="s">
        <v>36</v>
      </c>
      <c r="F44" s="26">
        <f>F43-E43</f>
        <v>14723198.832000002</v>
      </c>
      <c r="G44" s="26">
        <f>G43-E43</f>
        <v>37370755.692000002</v>
      </c>
    </row>
    <row r="45" spans="2:9" x14ac:dyDescent="0.35">
      <c r="B45" s="24" t="s">
        <v>52</v>
      </c>
      <c r="C45" s="25"/>
      <c r="D45" s="25"/>
      <c r="E45" s="25" t="s">
        <v>36</v>
      </c>
      <c r="F45" s="26">
        <f>F44*3</f>
        <v>44169596.496000007</v>
      </c>
      <c r="G45" s="26">
        <f>G44*3</f>
        <v>112112267.07600001</v>
      </c>
    </row>
    <row r="47" spans="2:9" x14ac:dyDescent="0.35">
      <c r="C47" t="s">
        <v>29</v>
      </c>
      <c r="D47" t="s">
        <v>30</v>
      </c>
      <c r="E47" t="s">
        <v>31</v>
      </c>
      <c r="F47" t="s">
        <v>60</v>
      </c>
      <c r="G47" t="s">
        <v>61</v>
      </c>
    </row>
    <row r="48" spans="2:9" x14ac:dyDescent="0.35">
      <c r="B48" t="s">
        <v>27</v>
      </c>
      <c r="C48">
        <v>101</v>
      </c>
      <c r="D48" s="33">
        <v>0.37</v>
      </c>
      <c r="E48" s="20">
        <f>ROUNDUP(C48/D48,0)</f>
        <v>273</v>
      </c>
    </row>
    <row r="49" spans="2:12" x14ac:dyDescent="0.35">
      <c r="B49" t="s">
        <v>28</v>
      </c>
      <c r="C49">
        <v>168</v>
      </c>
      <c r="D49" s="33">
        <v>0.37</v>
      </c>
      <c r="E49" s="20">
        <f>ROUNDUP(C49/D49,0)</f>
        <v>455</v>
      </c>
      <c r="J49" t="s">
        <v>82</v>
      </c>
      <c r="K49" t="s">
        <v>83</v>
      </c>
      <c r="L49" t="s">
        <v>84</v>
      </c>
    </row>
    <row r="52" spans="2:12" x14ac:dyDescent="0.35">
      <c r="I52" s="1">
        <v>0.3</v>
      </c>
    </row>
    <row r="53" spans="2:12" x14ac:dyDescent="0.35">
      <c r="B53" s="30" t="s">
        <v>59</v>
      </c>
      <c r="F53" s="21">
        <f>(F30+F33)/(101-57)</f>
        <v>469411.62545454554</v>
      </c>
      <c r="G53" s="21">
        <f>(G30+G33)/(101-57)</f>
        <v>782352.70909090911</v>
      </c>
      <c r="I53" s="1">
        <v>0.5</v>
      </c>
    </row>
    <row r="54" spans="2:12" ht="29" x14ac:dyDescent="0.35">
      <c r="B54" s="32" t="s">
        <v>62</v>
      </c>
    </row>
    <row r="55" spans="2:12" x14ac:dyDescent="0.35">
      <c r="B55" s="30" t="s">
        <v>39</v>
      </c>
      <c r="E55" s="21">
        <f>N16/((F30+F33)/N6)</f>
        <v>5267.8270466702688</v>
      </c>
    </row>
    <row r="56" spans="2:12" x14ac:dyDescent="0.35">
      <c r="B56" s="30" t="s">
        <v>63</v>
      </c>
      <c r="E56" s="21">
        <f>(N16/F45)*36</f>
        <v>4.3321077659681224</v>
      </c>
    </row>
    <row r="57" spans="2:12" x14ac:dyDescent="0.35">
      <c r="B57" s="30" t="s">
        <v>53</v>
      </c>
    </row>
    <row r="62" spans="2:12" x14ac:dyDescent="0.35">
      <c r="B62" t="s">
        <v>73</v>
      </c>
    </row>
    <row r="63" spans="2:12" x14ac:dyDescent="0.35">
      <c r="B63" s="34" t="s">
        <v>64</v>
      </c>
      <c r="C63" s="34" t="s">
        <v>65</v>
      </c>
      <c r="D63" s="34" t="s">
        <v>66</v>
      </c>
    </row>
    <row r="64" spans="2:12" x14ac:dyDescent="0.35">
      <c r="B64" s="35" t="s">
        <v>67</v>
      </c>
      <c r="C64" s="35" t="s">
        <v>68</v>
      </c>
      <c r="D64" s="35" t="s">
        <v>69</v>
      </c>
      <c r="E64">
        <f>177-135</f>
        <v>42</v>
      </c>
    </row>
    <row r="65" spans="2:5" x14ac:dyDescent="0.35">
      <c r="B65" s="35" t="s">
        <v>70</v>
      </c>
      <c r="C65" s="35" t="s">
        <v>71</v>
      </c>
      <c r="D65" s="35" t="s">
        <v>72</v>
      </c>
      <c r="E65">
        <f>151-82</f>
        <v>69</v>
      </c>
    </row>
  </sheetData>
  <pageMargins left="0.7" right="0.7" top="0.75" bottom="0.75" header="0.3" footer="0.3"/>
  <headerFooter>
    <oddFooter>&amp;C_x000D_&amp;1#&amp;"Aptos"&amp;8&amp;K000000 This item's classification is Internal. It was created by and is in property of the Home Credit Philippines. Do not distribute outside of the organization.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1FBB-1FD3-4668-B782-C977A199122E}">
  <dimension ref="B2:R59"/>
  <sheetViews>
    <sheetView tabSelected="1" zoomScale="70" workbookViewId="0">
      <selection activeCell="E24" sqref="E24"/>
    </sheetView>
  </sheetViews>
  <sheetFormatPr defaultRowHeight="14.5" x14ac:dyDescent="0.35"/>
  <cols>
    <col min="2" max="2" width="40.54296875" customWidth="1"/>
    <col min="3" max="3" width="13.36328125" bestFit="1" customWidth="1"/>
    <col min="5" max="5" width="15.81640625" customWidth="1"/>
    <col min="6" max="6" width="18.54296875" customWidth="1"/>
    <col min="7" max="7" width="16.1796875" customWidth="1"/>
    <col min="10" max="10" width="27" bestFit="1" customWidth="1"/>
    <col min="12" max="12" width="13.81640625" bestFit="1" customWidth="1"/>
    <col min="13" max="13" width="3.453125" customWidth="1"/>
    <col min="14" max="14" width="24.26953125" customWidth="1"/>
    <col min="17" max="17" width="18.26953125" customWidth="1"/>
  </cols>
  <sheetData>
    <row r="2" spans="2:18" x14ac:dyDescent="0.35">
      <c r="H2" t="s">
        <v>4</v>
      </c>
      <c r="K2" t="s">
        <v>0</v>
      </c>
    </row>
    <row r="3" spans="2:18" x14ac:dyDescent="0.35">
      <c r="B3" t="s">
        <v>1</v>
      </c>
      <c r="C3" s="1">
        <v>0.17</v>
      </c>
      <c r="H3" t="s">
        <v>5</v>
      </c>
      <c r="K3" t="s">
        <v>6</v>
      </c>
    </row>
    <row r="4" spans="2:18" x14ac:dyDescent="0.35">
      <c r="B4" t="s">
        <v>2</v>
      </c>
      <c r="C4" t="s">
        <v>3</v>
      </c>
      <c r="D4" t="s">
        <v>78</v>
      </c>
    </row>
    <row r="5" spans="2:18" x14ac:dyDescent="0.35">
      <c r="B5" t="s">
        <v>15</v>
      </c>
      <c r="C5" s="1">
        <v>0.88</v>
      </c>
      <c r="G5" s="12">
        <f>F40</f>
        <v>55458617.760000005</v>
      </c>
      <c r="H5" s="1">
        <v>0.3</v>
      </c>
      <c r="L5" t="s">
        <v>54</v>
      </c>
      <c r="N5" s="37" t="s">
        <v>55</v>
      </c>
      <c r="O5" s="21"/>
      <c r="Q5" s="37" t="s">
        <v>77</v>
      </c>
      <c r="R5" s="21"/>
    </row>
    <row r="6" spans="2:18" x14ac:dyDescent="0.35">
      <c r="G6" s="12">
        <f>G40</f>
        <v>140779568.16</v>
      </c>
      <c r="H6" s="1">
        <v>0.5</v>
      </c>
      <c r="J6" t="s">
        <v>56</v>
      </c>
      <c r="L6" s="7">
        <v>1113</v>
      </c>
      <c r="M6" s="7"/>
      <c r="N6" s="7">
        <v>20470</v>
      </c>
      <c r="Q6" s="7">
        <v>1986</v>
      </c>
    </row>
    <row r="7" spans="2:18" x14ac:dyDescent="0.35">
      <c r="B7" t="s">
        <v>7</v>
      </c>
      <c r="C7">
        <v>336</v>
      </c>
      <c r="J7" t="s">
        <v>40</v>
      </c>
      <c r="K7" s="31" t="s">
        <v>41</v>
      </c>
      <c r="L7" s="7">
        <v>1785500</v>
      </c>
      <c r="M7" s="7"/>
      <c r="N7" s="7">
        <v>1785500</v>
      </c>
      <c r="Q7" s="7">
        <v>1785500</v>
      </c>
    </row>
    <row r="8" spans="2:18" x14ac:dyDescent="0.35">
      <c r="J8" t="s">
        <v>42</v>
      </c>
      <c r="K8" t="s">
        <v>43</v>
      </c>
      <c r="L8" s="7">
        <v>40544</v>
      </c>
      <c r="M8" s="7"/>
      <c r="N8" s="7">
        <v>745674</v>
      </c>
      <c r="Q8" s="7">
        <v>72345</v>
      </c>
    </row>
    <row r="9" spans="2:18" x14ac:dyDescent="0.35">
      <c r="B9" t="s">
        <v>8</v>
      </c>
      <c r="C9">
        <v>1008</v>
      </c>
      <c r="J9" t="s">
        <v>57</v>
      </c>
      <c r="K9" t="s">
        <v>43</v>
      </c>
      <c r="L9" s="7">
        <v>15987</v>
      </c>
      <c r="M9" s="7"/>
      <c r="N9" s="7">
        <v>294035</v>
      </c>
      <c r="Q9" s="7">
        <v>28527</v>
      </c>
    </row>
    <row r="10" spans="2:18" x14ac:dyDescent="0.35">
      <c r="B10" s="4" t="s">
        <v>9</v>
      </c>
      <c r="C10">
        <v>463</v>
      </c>
      <c r="D10" s="2">
        <f>C10/C9</f>
        <v>0.4593253968253968</v>
      </c>
      <c r="J10" t="s">
        <v>58</v>
      </c>
      <c r="K10" t="s">
        <v>43</v>
      </c>
      <c r="L10" s="7">
        <v>25620</v>
      </c>
      <c r="M10" s="7"/>
      <c r="N10" s="7">
        <v>76860</v>
      </c>
      <c r="Q10" s="7">
        <f>7320+18300</f>
        <v>25620</v>
      </c>
    </row>
    <row r="11" spans="2:18" x14ac:dyDescent="0.35">
      <c r="B11" s="4" t="s">
        <v>10</v>
      </c>
      <c r="C11">
        <v>170</v>
      </c>
      <c r="D11" s="2">
        <f>C11/C10</f>
        <v>0.367170626349892</v>
      </c>
      <c r="J11" t="s">
        <v>44</v>
      </c>
      <c r="K11" t="s">
        <v>43</v>
      </c>
      <c r="L11" s="7">
        <v>9000</v>
      </c>
      <c r="M11" s="7"/>
      <c r="N11" s="7">
        <v>60000</v>
      </c>
      <c r="Q11" s="7">
        <v>9000</v>
      </c>
    </row>
    <row r="12" spans="2:18" x14ac:dyDescent="0.35">
      <c r="B12" s="4"/>
      <c r="D12" s="3">
        <f>C11/C9</f>
        <v>0.16865079365079366</v>
      </c>
    </row>
    <row r="13" spans="2:18" x14ac:dyDescent="0.35">
      <c r="B13" s="4"/>
      <c r="J13" t="s">
        <v>45</v>
      </c>
      <c r="L13" s="19">
        <f>SUM(L7:L11)</f>
        <v>1876651</v>
      </c>
      <c r="N13" s="19">
        <f>SUM(N7:N11)</f>
        <v>2962069</v>
      </c>
      <c r="Q13" s="19">
        <f>SUM(Q7:Q11)</f>
        <v>1920992</v>
      </c>
    </row>
    <row r="14" spans="2:18" x14ac:dyDescent="0.35">
      <c r="B14" s="4"/>
      <c r="J14" t="s">
        <v>46</v>
      </c>
      <c r="L14" s="12">
        <f>SUM(L8:L11)</f>
        <v>91151</v>
      </c>
      <c r="N14" s="12">
        <f>SUM(N8:N11)</f>
        <v>1176569</v>
      </c>
      <c r="Q14" s="12">
        <f>SUM(Q8:Q11)</f>
        <v>135492</v>
      </c>
    </row>
    <row r="15" spans="2:18" x14ac:dyDescent="0.35">
      <c r="B15" s="4"/>
      <c r="C15">
        <v>2024</v>
      </c>
      <c r="D15">
        <v>2025</v>
      </c>
      <c r="E15">
        <v>2026</v>
      </c>
      <c r="J15" t="s">
        <v>47</v>
      </c>
      <c r="L15" s="12">
        <f>SUM(L8:L11)</f>
        <v>91151</v>
      </c>
      <c r="N15" s="12">
        <f>SUM(N8:N11)</f>
        <v>1176569</v>
      </c>
      <c r="Q15" s="12">
        <f>SUM(Q8:Q11)</f>
        <v>135492</v>
      </c>
    </row>
    <row r="16" spans="2:18" x14ac:dyDescent="0.35">
      <c r="B16" s="4" t="s">
        <v>88</v>
      </c>
      <c r="C16">
        <v>51</v>
      </c>
      <c r="D16">
        <v>67</v>
      </c>
      <c r="E16">
        <v>175</v>
      </c>
      <c r="F16">
        <f>SUM(C16:E16)</f>
        <v>293</v>
      </c>
      <c r="J16" s="23" t="s">
        <v>48</v>
      </c>
      <c r="K16" s="23"/>
      <c r="L16" s="29">
        <f>SUM(L13:L15)</f>
        <v>2058953</v>
      </c>
      <c r="N16" s="29">
        <f>SUM(N13:N15)</f>
        <v>5315207</v>
      </c>
      <c r="Q16" s="29">
        <f>SUM(Q13:Q15)</f>
        <v>2191976</v>
      </c>
    </row>
    <row r="17" spans="2:18" x14ac:dyDescent="0.35">
      <c r="B17" s="5" t="s">
        <v>12</v>
      </c>
      <c r="C17">
        <v>20</v>
      </c>
      <c r="D17">
        <v>29</v>
      </c>
      <c r="E17">
        <v>30</v>
      </c>
      <c r="F17">
        <f>SUM(C17:E17)</f>
        <v>79</v>
      </c>
      <c r="J17" t="s">
        <v>51</v>
      </c>
      <c r="L17" s="7">
        <f>L16/1113/3</f>
        <v>616.63761605271043</v>
      </c>
      <c r="N17" s="7">
        <f>N16/1113/3</f>
        <v>1591.8559448936805</v>
      </c>
      <c r="Q17" s="7">
        <f>Q16/1113/3</f>
        <v>656.47678945792154</v>
      </c>
    </row>
    <row r="18" spans="2:18" x14ac:dyDescent="0.35">
      <c r="F18" s="3">
        <f>F17/F16</f>
        <v>0.2696245733788396</v>
      </c>
      <c r="G18" t="s">
        <v>89</v>
      </c>
    </row>
    <row r="19" spans="2:18" x14ac:dyDescent="0.35">
      <c r="B19" s="4" t="s">
        <v>13</v>
      </c>
      <c r="C19" s="1">
        <v>0.17</v>
      </c>
      <c r="J19" t="s">
        <v>49</v>
      </c>
      <c r="L19" s="7">
        <f>175000*61</f>
        <v>10675000</v>
      </c>
      <c r="N19" s="7">
        <f>((12*N6*3)+(70000))*61</f>
        <v>49222120</v>
      </c>
      <c r="O19" s="21">
        <f>N19/N16</f>
        <v>9.2606214583928708</v>
      </c>
      <c r="Q19" s="7">
        <f>((12*Q6*3)+(70000))*61</f>
        <v>8631256</v>
      </c>
      <c r="R19" s="21">
        <f>Q19/Q16</f>
        <v>3.9376599013857816</v>
      </c>
    </row>
    <row r="20" spans="2:18" x14ac:dyDescent="0.35">
      <c r="J20" t="s">
        <v>50</v>
      </c>
      <c r="L20" s="7">
        <f>480000*61</f>
        <v>29280000</v>
      </c>
      <c r="N20" s="7">
        <f>((30*N6*3)+(250000))*61</f>
        <v>127630300</v>
      </c>
      <c r="O20" s="21">
        <f>N20/N16</f>
        <v>24.012291525052554</v>
      </c>
      <c r="Q20" s="7">
        <f>((30*Q6*3)+(250000))*61</f>
        <v>26153140</v>
      </c>
      <c r="R20" s="21">
        <f>Q20/Q16</f>
        <v>11.931307642054476</v>
      </c>
    </row>
    <row r="21" spans="2:18" x14ac:dyDescent="0.35">
      <c r="B21" t="s">
        <v>14</v>
      </c>
    </row>
    <row r="26" spans="2:18" x14ac:dyDescent="0.35">
      <c r="B26" s="23" t="s">
        <v>37</v>
      </c>
    </row>
    <row r="28" spans="2:18" ht="29" x14ac:dyDescent="0.35">
      <c r="E28" s="27" t="s">
        <v>16</v>
      </c>
      <c r="F28" s="28" t="s">
        <v>21</v>
      </c>
      <c r="G28" s="28" t="s">
        <v>22</v>
      </c>
    </row>
    <row r="31" spans="2:18" x14ac:dyDescent="0.35">
      <c r="B31" t="s">
        <v>17</v>
      </c>
      <c r="E31" s="6">
        <f>C7*17%</f>
        <v>57.120000000000005</v>
      </c>
      <c r="F31" s="6">
        <f>C7*30%</f>
        <v>100.8</v>
      </c>
      <c r="G31" s="6">
        <f>C7*50%</f>
        <v>168</v>
      </c>
    </row>
    <row r="32" spans="2:18" x14ac:dyDescent="0.35">
      <c r="B32" s="13" t="s">
        <v>19</v>
      </c>
      <c r="C32" s="14">
        <f>C33</f>
        <v>31989</v>
      </c>
      <c r="D32" s="13"/>
      <c r="E32" s="15">
        <f>E31*$C$32</f>
        <v>1827211.6800000002</v>
      </c>
      <c r="F32" s="15">
        <f>F31*$C$32</f>
        <v>3224491.1999999997</v>
      </c>
      <c r="G32" s="15">
        <f>G31*$C$32</f>
        <v>5374152</v>
      </c>
    </row>
    <row r="33" spans="2:12" x14ac:dyDescent="0.35">
      <c r="B33" s="4" t="s">
        <v>85</v>
      </c>
      <c r="C33" s="8">
        <f>35367-3378</f>
        <v>31989</v>
      </c>
      <c r="E33" s="6"/>
      <c r="F33" s="6"/>
      <c r="G33" s="6"/>
    </row>
    <row r="34" spans="2:12" x14ac:dyDescent="0.35">
      <c r="B34" s="13" t="s">
        <v>86</v>
      </c>
      <c r="C34" s="16">
        <f>C36</f>
        <v>391230</v>
      </c>
      <c r="D34" s="13"/>
      <c r="E34" s="17">
        <f>E31*$C$34</f>
        <v>22347057.600000001</v>
      </c>
      <c r="F34" s="17">
        <f>F31*$C$34</f>
        <v>39435984</v>
      </c>
      <c r="G34" s="17">
        <f>G31*$C$34</f>
        <v>65726640</v>
      </c>
    </row>
    <row r="35" spans="2:12" x14ac:dyDescent="0.35">
      <c r="B35" s="9" t="s">
        <v>74</v>
      </c>
    </row>
    <row r="36" spans="2:12" x14ac:dyDescent="0.35">
      <c r="B36" s="10" t="s">
        <v>87</v>
      </c>
      <c r="C36" s="38">
        <f>5670*69</f>
        <v>391230</v>
      </c>
    </row>
    <row r="38" spans="2:12" x14ac:dyDescent="0.35">
      <c r="B38" s="24" t="s">
        <v>35</v>
      </c>
      <c r="C38" s="25"/>
      <c r="D38" s="25"/>
      <c r="E38" s="26">
        <f>SUM(E32,E34)</f>
        <v>24174269.280000001</v>
      </c>
      <c r="F38" s="26">
        <f t="shared" ref="F38:G38" si="0">SUM(F32,F34)</f>
        <v>42660475.200000003</v>
      </c>
      <c r="G38" s="26">
        <f t="shared" si="0"/>
        <v>71100792</v>
      </c>
    </row>
    <row r="39" spans="2:12" x14ac:dyDescent="0.35">
      <c r="B39" s="24" t="s">
        <v>38</v>
      </c>
      <c r="C39" s="25"/>
      <c r="D39" s="25"/>
      <c r="E39" s="25" t="s">
        <v>36</v>
      </c>
      <c r="F39" s="26">
        <f>F38-E38</f>
        <v>18486205.920000002</v>
      </c>
      <c r="G39" s="26">
        <f>G38-E38</f>
        <v>46926522.719999999</v>
      </c>
    </row>
    <row r="40" spans="2:12" x14ac:dyDescent="0.35">
      <c r="B40" s="24" t="s">
        <v>52</v>
      </c>
      <c r="C40" s="25"/>
      <c r="D40" s="25"/>
      <c r="E40" s="25" t="s">
        <v>36</v>
      </c>
      <c r="F40" s="26">
        <f>F39*3</f>
        <v>55458617.760000005</v>
      </c>
      <c r="G40" s="26">
        <f>G39*3</f>
        <v>140779568.16</v>
      </c>
    </row>
    <row r="42" spans="2:12" x14ac:dyDescent="0.35">
      <c r="C42" t="s">
        <v>29</v>
      </c>
      <c r="D42" t="s">
        <v>30</v>
      </c>
      <c r="E42" t="s">
        <v>31</v>
      </c>
      <c r="F42" t="s">
        <v>60</v>
      </c>
      <c r="G42" t="s">
        <v>61</v>
      </c>
      <c r="J42" t="s">
        <v>82</v>
      </c>
      <c r="K42" t="s">
        <v>83</v>
      </c>
      <c r="L42" t="s">
        <v>84</v>
      </c>
    </row>
    <row r="43" spans="2:12" x14ac:dyDescent="0.35">
      <c r="B43" t="s">
        <v>27</v>
      </c>
      <c r="C43">
        <v>101</v>
      </c>
      <c r="D43" s="33">
        <v>0.37</v>
      </c>
      <c r="E43" s="20">
        <f>ROUNDUP(C43/D43,0)</f>
        <v>273</v>
      </c>
    </row>
    <row r="44" spans="2:12" x14ac:dyDescent="0.35">
      <c r="B44" t="s">
        <v>28</v>
      </c>
      <c r="C44">
        <v>168</v>
      </c>
      <c r="D44" s="33">
        <v>0.37</v>
      </c>
      <c r="E44" s="20">
        <f>ROUNDUP(C44/D44,0)</f>
        <v>455</v>
      </c>
      <c r="I44" s="1">
        <v>0.17</v>
      </c>
      <c r="J44" t="s">
        <v>90</v>
      </c>
    </row>
    <row r="45" spans="2:12" x14ac:dyDescent="0.35">
      <c r="I45" s="1">
        <v>0.3</v>
      </c>
    </row>
    <row r="46" spans="2:12" x14ac:dyDescent="0.35">
      <c r="I46" s="1">
        <v>0.5</v>
      </c>
    </row>
    <row r="48" spans="2:12" x14ac:dyDescent="0.35">
      <c r="B48" s="30" t="s">
        <v>59</v>
      </c>
      <c r="F48" s="21">
        <f>F38/F31</f>
        <v>423219.00000000006</v>
      </c>
      <c r="G48" s="21"/>
    </row>
    <row r="49" spans="2:10" x14ac:dyDescent="0.35">
      <c r="B49" s="30" t="s">
        <v>39</v>
      </c>
      <c r="E49" s="21">
        <f>N16/F48</f>
        <v>12.558999005243146</v>
      </c>
      <c r="F49" s="21">
        <f>E49/36</f>
        <v>0.34886108347897626</v>
      </c>
      <c r="J49" s="39"/>
    </row>
    <row r="50" spans="2:10" x14ac:dyDescent="0.35">
      <c r="B50" s="30" t="s">
        <v>63</v>
      </c>
      <c r="E50" s="21">
        <f>(N16/F40)*36</f>
        <v>3.4502744519898756</v>
      </c>
      <c r="F50" s="21">
        <f>F48*F49*E50</f>
        <v>509414.52553160413</v>
      </c>
    </row>
    <row r="51" spans="2:10" x14ac:dyDescent="0.35">
      <c r="B51" s="30" t="s">
        <v>53</v>
      </c>
    </row>
    <row r="56" spans="2:10" x14ac:dyDescent="0.35">
      <c r="B56" t="s">
        <v>73</v>
      </c>
    </row>
    <row r="57" spans="2:10" x14ac:dyDescent="0.35">
      <c r="B57" s="34" t="s">
        <v>64</v>
      </c>
      <c r="C57" s="34" t="s">
        <v>65</v>
      </c>
      <c r="D57" s="34" t="s">
        <v>66</v>
      </c>
    </row>
    <row r="58" spans="2:10" x14ac:dyDescent="0.35">
      <c r="B58" s="35" t="s">
        <v>67</v>
      </c>
      <c r="C58" s="35" t="s">
        <v>68</v>
      </c>
      <c r="D58" s="35" t="s">
        <v>69</v>
      </c>
      <c r="E58">
        <f>177-135</f>
        <v>42</v>
      </c>
    </row>
    <row r="59" spans="2:10" x14ac:dyDescent="0.35">
      <c r="B59" s="35" t="s">
        <v>70</v>
      </c>
      <c r="C59" s="35" t="s">
        <v>71</v>
      </c>
      <c r="D59" s="35" t="s">
        <v>72</v>
      </c>
      <c r="E59">
        <f>151-82</f>
        <v>69</v>
      </c>
    </row>
  </sheetData>
  <pageMargins left="0.7" right="0.7" top="0.75" bottom="0.75" header="0.3" footer="0.3"/>
  <headerFooter>
    <oddFooter>&amp;C_x000D_&amp;1#&amp;"Aptos"&amp;8&amp;K000000 This item's classification is Internal. It was created by and is in property of the Home Credit Philippines. Do not distribute outside of the organization.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Ruffa Gayla Gonzales (PH)</dc:creator>
  <cp:lastModifiedBy>Ruffa Gayla Gonzales (PH)</cp:lastModifiedBy>
  <dcterms:created xsi:type="dcterms:W3CDTF">2026-09-16T13:05:45Z</dcterms:created>
  <dcterms:modified xsi:type="dcterms:W3CDTF">2026-09-17T06:50:30Z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3eb88c-becf-405c-947b-15092b926726_Enabled">
    <vt:lpwstr>true</vt:lpwstr>
  </property>
  <property fmtid="{D5CDD505-2E9C-101B-9397-08002B2CF9AE}" pid="3" name="MSIP_Label_d63eb88c-becf-405c-947b-15092b926726_SetDate">
    <vt:lpwstr>2026-09-16T14:29:41Z</vt:lpwstr>
  </property>
  <property fmtid="{D5CDD505-2E9C-101B-9397-08002B2CF9AE}" pid="4" name="MSIP_Label_d63eb88c-becf-405c-947b-15092b926726_Method">
    <vt:lpwstr>Standard</vt:lpwstr>
  </property>
  <property fmtid="{D5CDD505-2E9C-101B-9397-08002B2CF9AE}" pid="5" name="MSIP_Label_d63eb88c-becf-405c-947b-15092b926726_Name">
    <vt:lpwstr>Internal</vt:lpwstr>
  </property>
  <property fmtid="{D5CDD505-2E9C-101B-9397-08002B2CF9AE}" pid="6" name="MSIP_Label_d63eb88c-becf-405c-947b-15092b926726_SiteId">
    <vt:lpwstr>ca89c2db-d679-489d-89fb-2486cd9aded4</vt:lpwstr>
  </property>
  <property fmtid="{D5CDD505-2E9C-101B-9397-08002B2CF9AE}" pid="7" name="MSIP_Label_d63eb88c-becf-405c-947b-15092b926726_ActionId">
    <vt:lpwstr>bbc1b4ab-867a-473e-8c32-8eb9b29bb8e4</vt:lpwstr>
  </property>
  <property fmtid="{D5CDD505-2E9C-101B-9397-08002B2CF9AE}" pid="8" name="MSIP_Label_d63eb88c-becf-405c-947b-15092b926726_ContentBits">
    <vt:lpwstr>2</vt:lpwstr>
  </property>
  <property fmtid="{D5CDD505-2E9C-101B-9397-08002B2CF9AE}" pid="9" name="MSIP_Label_d63eb88c-becf-405c-947b-15092b926726_Tag">
    <vt:lpwstr>10, 3, 0, 1</vt:lpwstr>
  </property>
</Properties>
</file>