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Competition" sheetId="4" state="visible" r:id="rId4"/>
    <sheet xmlns:r="http://schemas.openxmlformats.org/officeDocument/2006/relationships" name="Benefits" sheetId="5" state="visible" r:id="rId5"/>
    <sheet xmlns:r="http://schemas.openxmlformats.org/officeDocument/2006/relationships" name="Payback" sheetId="6" state="visible" r:id="rId6"/>
    <sheet xmlns:r="http://schemas.openxmlformats.org/officeDocument/2006/relationships" name="CBA" sheetId="7" state="visible" r:id="rId7"/>
    <sheet xmlns:r="http://schemas.openxmlformats.org/officeDocument/2006/relationships" name="Sensitivit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"/>
    <numFmt numFmtId="166" formatCode="\₱#,##0;&quot;(₱&quot;#,##0\);\-"/>
    <numFmt numFmtId="167" formatCode="#,##0.0"/>
    <numFmt numFmtId="168" formatCode="\$#,##0;&quot;($&quot;#,##0\);\-"/>
    <numFmt numFmtId="169" formatCode="0.0\x"/>
    <numFmt numFmtId="170" formatCode="\₱#,##0.00;&quot;(₱&quot;#,##0.00\);\-"/>
    <numFmt numFmtId="171" formatCode="0&quot; mo&quot;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5"/>
    </font>
    <font>
      <name val="Arial"/>
      <charset val="1"/>
      <family val="0"/>
      <i val="1"/>
      <color rgb="FF6B7280"/>
      <sz val="9.5"/>
    </font>
    <font>
      <name val="Arial"/>
      <charset val="1"/>
      <family val="0"/>
      <b val="1"/>
      <color rgb="FFFFFFFF"/>
      <sz val="9.5"/>
    </font>
    <font>
      <name val="Arial"/>
      <charset val="1"/>
      <family val="0"/>
      <b val="1"/>
      <color rgb="FF1F2937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6B7280"/>
      <sz val="9"/>
    </font>
    <font>
      <name val="Arial"/>
      <charset val="1"/>
      <family val="0"/>
      <i val="1"/>
      <color rgb="FF991B1B"/>
      <sz val="9"/>
    </font>
    <font>
      <name val="Arial"/>
      <charset val="1"/>
      <family val="0"/>
      <b val="1"/>
      <color rgb="FF1F2937"/>
      <sz val="9.5"/>
    </font>
    <font>
      <name val="Arial"/>
      <charset val="1"/>
      <family val="0"/>
      <color rgb="FF008000"/>
      <sz val="10"/>
    </font>
    <font>
      <name val="Arial"/>
      <charset val="1"/>
      <family val="0"/>
      <i val="1"/>
      <color rgb="FF6B7280"/>
      <sz val="9"/>
    </font>
    <font>
      <name val="Arial"/>
      <charset val="1"/>
      <family val="0"/>
      <i val="1"/>
      <color rgb="FF1F2937"/>
      <sz val="10"/>
    </font>
    <font>
      <name val="Arial"/>
      <charset val="1"/>
      <family val="0"/>
      <i val="1"/>
      <color rgb="FF1F2937"/>
      <sz val="9.5"/>
    </font>
    <font>
      <b val="1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0F172A"/>
        <bgColor rgb="FF1F2937"/>
      </patternFill>
    </fill>
    <fill>
      <patternFill patternType="solid">
        <fgColor rgb="FFFFFF00"/>
        <bgColor rgb="FFFFFF00"/>
      </patternFill>
    </fill>
    <fill>
      <patternFill patternType="solid">
        <fgColor rgb="FFF1F5F9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3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164" fontId="11" fillId="0" borderId="0" applyAlignment="1" pivotButton="0" quotePrefix="0" xfId="0">
      <alignment horizontal="general" vertical="bottom"/>
    </xf>
    <xf numFmtId="165" fontId="11" fillId="3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11" fillId="3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4" fontId="11" fillId="3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 wrapText="1"/>
    </xf>
    <xf numFmtId="0" fontId="14" fillId="4" borderId="1" applyAlignment="1" pivotButton="0" quotePrefix="0" xfId="0">
      <alignment horizontal="left" vertical="bottom" wrapText="1"/>
    </xf>
    <xf numFmtId="0" fontId="14" fillId="4" borderId="1" applyAlignment="1" pivotButton="0" quotePrefix="0" xfId="0">
      <alignment horizontal="right" vertical="bottom" wrapText="1"/>
    </xf>
    <xf numFmtId="167" fontId="15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6" fontId="7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7" fillId="4" borderId="0" applyAlignment="1" pivotButton="0" quotePrefix="0" xfId="0">
      <alignment horizontal="general" vertical="bottom"/>
    </xf>
    <xf numFmtId="168" fontId="10" fillId="4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167" fontId="7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7" fontId="7" fillId="4" borderId="0" applyAlignment="1" pivotButton="0" quotePrefix="0" xfId="0">
      <alignment horizontal="general" vertical="bottom"/>
    </xf>
    <xf numFmtId="167" fontId="8" fillId="4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4" fontId="15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164" fontId="7" fillId="0" borderId="0" applyAlignment="1" pivotButton="0" quotePrefix="0" xfId="0">
      <alignment horizontal="general" vertical="bottom"/>
    </xf>
    <xf numFmtId="171" fontId="15" fillId="0" borderId="0" applyAlignment="1" pivotButton="0" quotePrefix="0" xfId="0">
      <alignment horizontal="general" vertical="bottom"/>
    </xf>
    <xf numFmtId="171" fontId="15" fillId="4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71" fontId="15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165" fontId="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3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164" fontId="11" fillId="0" borderId="0" applyAlignment="1" pivotButton="0" quotePrefix="0" xfId="0">
      <alignment horizontal="general" vertical="bottom"/>
    </xf>
    <xf numFmtId="165" fontId="11" fillId="3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11" fillId="3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4" fontId="11" fillId="3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 wrapText="1"/>
    </xf>
    <xf numFmtId="0" fontId="19" fillId="0" borderId="0" pivotButton="0" quotePrefix="0" xfId="0"/>
    <xf numFmtId="0" fontId="14" fillId="4" borderId="1" applyAlignment="1" pivotButton="0" quotePrefix="0" xfId="0">
      <alignment horizontal="left" vertical="bottom" wrapText="1"/>
    </xf>
    <xf numFmtId="0" fontId="14" fillId="4" borderId="1" applyAlignment="1" pivotButton="0" quotePrefix="0" xfId="0">
      <alignment horizontal="right" vertical="bottom" wrapText="1"/>
    </xf>
    <xf numFmtId="0" fontId="19" fillId="0" borderId="0" applyAlignment="1" pivotButton="0" quotePrefix="0" xfId="0">
      <alignment horizontal="right"/>
    </xf>
    <xf numFmtId="167" fontId="15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20" fillId="0" borderId="0" pivotButton="0" quotePrefix="0" xfId="0"/>
    <xf numFmtId="3" fontId="19" fillId="0" borderId="0" pivotButton="0" quotePrefix="0" xfId="0"/>
    <xf numFmtId="3" fontId="0" fillId="0" borderId="0" pivotButton="0" quotePrefix="0" xfId="0"/>
    <xf numFmtId="166" fontId="7" fillId="0" borderId="0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6" fontId="7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7" fillId="4" borderId="0" applyAlignment="1" pivotButton="0" quotePrefix="0" xfId="0">
      <alignment horizontal="general" vertical="bottom"/>
    </xf>
    <xf numFmtId="168" fontId="10" fillId="4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167" fontId="7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7" fontId="7" fillId="4" borderId="0" applyAlignment="1" pivotButton="0" quotePrefix="0" xfId="0">
      <alignment horizontal="general" vertical="bottom"/>
    </xf>
    <xf numFmtId="167" fontId="8" fillId="4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4" fontId="15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71" fontId="15" fillId="0" borderId="0" applyAlignment="1" pivotButton="0" quotePrefix="0" xfId="0">
      <alignment horizontal="general" vertical="bottom"/>
    </xf>
    <xf numFmtId="171" fontId="15" fillId="4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71" fontId="15" fillId="0" borderId="2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2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91B1B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6" customWidth="1" style="69" min="1" max="1"/>
    <col width="96" customWidth="1" style="69" min="2" max="2"/>
  </cols>
  <sheetData>
    <row r="1" ht="21" customHeight="1" s="70">
      <c r="A1" s="71" t="inlineStr">
        <is>
          <t>Growth v2 — cost-benefit model</t>
        </is>
      </c>
    </row>
    <row r="2" ht="15" customHeight="1" s="70">
      <c r="A2" s="72" t="inlineStr">
        <is>
          <t>Home Credit PH · 1,113 employees · 3-year horizon · prepared 31 August 2026 · benefit side revised 11 September 2026</t>
        </is>
      </c>
    </row>
    <row r="4" ht="16.5" customHeight="1" s="70">
      <c r="A4" s="73" t="inlineStr">
        <is>
          <t>HOW TO USE THIS WORKBOOK</t>
        </is>
      </c>
      <c r="B4" s="74" t="n"/>
    </row>
    <row r="6" ht="15" customHeight="1" s="70">
      <c r="A6" s="75" t="inlineStr">
        <is>
          <t>Change inputs here</t>
        </is>
      </c>
      <c r="B6" s="76" t="inlineStr">
        <is>
          <t>Assumptions is the only sheet you edit. Every other sheet is formulas that trace back to it.</t>
        </is>
      </c>
    </row>
    <row r="7" ht="15" customHeight="1" s="70">
      <c r="A7" s="77" t="inlineStr">
        <is>
          <t>Blue text</t>
        </is>
      </c>
      <c r="B7" s="76" t="inlineStr">
        <is>
          <t>A hardcoded input. Change it.</t>
        </is>
      </c>
    </row>
    <row r="8" ht="15" customHeight="1" s="70">
      <c r="A8" s="78" t="inlineStr">
        <is>
          <t>Yellow fill</t>
        </is>
      </c>
      <c r="B8" s="76" t="inlineStr">
        <is>
          <t>A key lever — the assumptions most likely to be challenged, and the ones that move the answer most.</t>
        </is>
      </c>
    </row>
    <row r="9" ht="15" customHeight="1" s="70">
      <c r="A9" s="75" t="inlineStr">
        <is>
          <t>Black text</t>
        </is>
      </c>
      <c r="B9" s="76" t="inlineStr">
        <is>
          <t>A formula on the same sheet. Do not overwrite.</t>
        </is>
      </c>
    </row>
    <row r="10" ht="15" customHeight="1" s="70">
      <c r="A10" s="79" t="inlineStr">
        <is>
          <t>Green text</t>
        </is>
      </c>
      <c r="B10" s="76" t="inlineStr">
        <is>
          <t>A formula pulling from another sheet. Do not overwrite.</t>
        </is>
      </c>
    </row>
    <row r="11" ht="15" customHeight="1" s="70">
      <c r="A11" s="75" t="inlineStr">
        <is>
          <t>Recalculate</t>
        </is>
      </c>
      <c r="B11" s="76" t="inlineStr">
        <is>
          <t>The workbook recalculates on open. If your Excel is set to manual, press F9.</t>
        </is>
      </c>
    </row>
    <row r="13" ht="16.5" customHeight="1" s="70">
      <c r="A13" s="73" t="inlineStr">
        <is>
          <t>SHEETS</t>
        </is>
      </c>
      <c r="B13" s="74" t="n"/>
    </row>
    <row r="15" ht="15" customHeight="1" s="70">
      <c r="A15" s="75" t="inlineStr">
        <is>
          <t>Assumptions</t>
        </is>
      </c>
      <c r="B15" s="76" t="inlineStr">
        <is>
          <t>Every input, grouped. The only sheet with hardcoded numbers.</t>
        </is>
      </c>
    </row>
    <row r="16" ht="15" customHeight="1" s="70">
      <c r="A16" s="75" t="inlineStr">
        <is>
          <t>Costs</t>
        </is>
      </c>
      <c r="B16" s="76" t="inlineStr">
        <is>
          <t>Build and run, by year. Three-year total cost of ownership.</t>
        </is>
      </c>
    </row>
    <row r="17" ht="15" customHeight="1" s="70">
      <c r="A17" s="75" t="inlineStr">
        <is>
          <t>Competition</t>
        </is>
      </c>
      <c r="B17" s="76" t="inlineStr">
        <is>
          <t>v2-lean against the external-platform bands, and the break-even each option implies.</t>
        </is>
      </c>
    </row>
    <row r="18" ht="15" customHeight="1" s="70">
      <c r="A18" s="75" t="inlineStr">
        <is>
          <t>Benefits</t>
        </is>
      </c>
      <c r="B18" s="76" t="inlineStr">
        <is>
          <t>Two streams — attributed (needs a confirmed referral) and owned (needs no attribution) — across three scenarios.</t>
        </is>
      </c>
    </row>
    <row r="19" ht="15" customHeight="1" s="70">
      <c r="A19" s="75" t="inlineStr">
        <is>
          <t>CBA</t>
        </is>
      </c>
      <c r="B19" s="76" t="inlineStr">
        <is>
          <t>Net, benefit-cost ratio, NPV and payback per scenario, including two stress cases.</t>
        </is>
      </c>
    </row>
    <row r="20" ht="15" customHeight="1" s="70">
      <c r="A20" s="75" t="inlineStr">
        <is>
          <t>Payback</t>
        </is>
      </c>
      <c r="B20" s="76" t="inlineStr">
        <is>
          <t>The month-by-month cashflow behind the payback figures on CBA.</t>
        </is>
      </c>
    </row>
    <row r="21" ht="15" customHeight="1" s="70">
      <c r="A21" s="75" t="inlineStr">
        <is>
          <t>Sensitivity</t>
        </is>
      </c>
      <c r="B21" s="76" t="inlineStr">
        <is>
          <t>What moves the answer, and by how much.</t>
        </is>
      </c>
    </row>
    <row r="23" ht="16.5" customHeight="1" s="70">
      <c r="A23" s="73" t="inlineStr">
        <is>
          <t>WHAT THIS MODEL DOES NOT CLAIM</t>
        </is>
      </c>
      <c r="B23" s="74" t="n"/>
    </row>
    <row r="25" ht="48" customHeight="1" s="70">
      <c r="A25" s="80" t="inlineStr">
        <is>
          <t>•</t>
        </is>
      </c>
      <c r="B25" s="76" t="inlineStr">
        <is>
          <t>Vendor pricing is an RFP planning band derived from how enterprise HR SaaS is structured. It is NOT a quote — none of these vendors publish per-seat pricing. Replace the Competition sheet with real numbers before deciding.</t>
        </is>
      </c>
    </row>
    <row r="26" ht="61.5" customHeight="1" s="70">
      <c r="A26" s="80" t="inlineStr">
        <is>
          <t>•</t>
        </is>
      </c>
      <c r="B26" s="76" t="inlineStr">
        <is>
          <t>The retention lift is a judgement, not a measurement. The v1 dashboard shows 94% retention among participants against 81% company-wide; that 13-point gap is almost certainly selection bias, so it is discounted to 3 points here. The CBA sheet reports the case with this stream removed entirely, because it is the softest input in the model. Since a fill is now priced at TA's actual cost rather than an unsourced P350,000 agency fee, this stream carries most of the case: removing it takes the BCR below 1.</t>
        </is>
      </c>
    </row>
    <row r="27" ht="33.75" customHeight="1" s="70">
      <c r="A27" s="80" t="inlineStr">
        <is>
          <t>•</t>
        </is>
      </c>
      <c r="B27" s="76" t="inlineStr">
        <is>
          <t>Attributed benefits require HC Connect to add a "Growth Marketplace" source value. That commitment does not yet exist. Without it, only the owned stream is defensible.</t>
        </is>
      </c>
    </row>
    <row r="28" ht="33.75" customHeight="1" s="70">
      <c r="A28" s="80" t="inlineStr">
        <is>
          <t>•</t>
        </is>
      </c>
      <c r="B28" s="76" t="inlineStr">
        <is>
          <t>Build effort is a top-down planning estimate. docs/BRD_V2.md carries a bottom-up worksheet for IT; their figure is the authoritative one.</t>
        </is>
      </c>
    </row>
    <row r="30">
      <c r="A30" s="141" t="inlineStr">
        <is>
          <t>SCOPE OF THIS WORKBOOK — read before quoting a ratio</t>
        </is>
      </c>
    </row>
    <row r="31">
      <c r="A31" s="69" t="inlineStr">
        <is>
          <t>Costed at 1,113 people (the 637-person pilot plus 476 in mass operations) at P61 = US$1. The three-year cost of P2,049,953 is the headline figure and matches the deck.</t>
        </is>
      </c>
    </row>
    <row r="32">
      <c r="A32" s="69" t="inlineStr">
        <is>
          <t>The BENEFIT side here counts non-mass participants only, so the base BCR of 3.8 is the CONSERVATIVE case — the deck's "mass-ops benefit excluded" row. The headline BCR of 4.0 adds 54 mass-operations participants at P15,144.06/month basic; see docs/v2-cba-model.py.</t>
        </is>
      </c>
    </row>
    <row r="33">
      <c r="A33" s="69" t="inlineStr">
        <is>
          <t>Four of the five run lines are bought in dollars and rise as the peso weakens. The P1,785,500 build is peso labour: it moves with neither the exchange rate nor the population.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6" customWidth="1" style="69" min="1" max="1"/>
    <col width="15" customWidth="1" style="69" min="2" max="2"/>
    <col width="10" customWidth="1" style="69" min="3" max="3"/>
    <col width="74" customWidth="1" style="69" min="4" max="4"/>
  </cols>
  <sheetData>
    <row r="1" ht="21" customHeight="1" s="70">
      <c r="A1" s="71" t="inlineStr">
        <is>
          <t>Assumptions</t>
        </is>
      </c>
    </row>
    <row r="2" ht="15" customHeight="1" s="70">
      <c r="A2" s="72" t="inlineStr">
        <is>
          <t>Blue = input, edit freely. Yellow = key lever. Sources noted at right.</t>
        </is>
      </c>
    </row>
    <row r="4" ht="16.5" customHeight="1" s="70">
      <c r="A4" s="73" t="inlineStr">
        <is>
          <t>GLOBAL</t>
        </is>
      </c>
      <c r="B4" s="74" t="n"/>
      <c r="C4" s="74" t="n"/>
      <c r="D4" s="74" t="n"/>
    </row>
    <row r="5" ht="15" customHeight="1" s="70">
      <c r="A5" s="81" t="inlineStr">
        <is>
          <t>Exchange rate</t>
        </is>
      </c>
      <c r="B5" s="82" t="n">
        <v>61</v>
      </c>
      <c r="C5" s="83" t="inlineStr">
        <is>
          <t>₱ / US$1</t>
        </is>
      </c>
      <c r="D5" s="84" t="inlineStr">
        <is>
          <t>As of 8 September 2026. Four of the five run lines are bought in dollars, so a weaker peso RAISES the peso cost of running this. The build is peso labour and does not move.</t>
        </is>
      </c>
    </row>
    <row r="6" ht="15" customHeight="1" s="70">
      <c r="A6" s="81" t="inlineStr">
        <is>
          <t>Population</t>
        </is>
      </c>
      <c r="B6" s="85" t="n">
        <v>1113</v>
      </c>
      <c r="C6" s="83" t="inlineStr">
        <is>
          <t>people</t>
        </is>
      </c>
      <c r="D6" s="84" t="inlineStr">
        <is>
          <t>The 637-person pilot in IT, Operations and HR, plus 476 in mass operations joining in wave two.</t>
        </is>
      </c>
    </row>
    <row r="7" ht="15" customHeight="1" s="70">
      <c r="A7" s="81" t="inlineStr">
        <is>
          <t>Discount rate</t>
        </is>
      </c>
      <c r="B7" s="86" t="n">
        <v>0.1</v>
      </c>
      <c r="C7" s="83" t="inlineStr">
        <is>
          <t>per year</t>
        </is>
      </c>
      <c r="D7" s="84" t="inlineStr">
        <is>
          <t>Corporate hurdle rate. Applied to net annual flows in the NPV.</t>
        </is>
      </c>
    </row>
    <row r="8" ht="15" customHeight="1" s="70">
      <c r="A8" s="81" t="inlineStr">
        <is>
          <t>Contingency on build</t>
        </is>
      </c>
      <c r="B8" s="87" t="n">
        <v>0.2</v>
      </c>
      <c r="D8" s="84" t="inlineStr">
        <is>
          <t>Applied to build subtotals only, not to run costs.</t>
        </is>
      </c>
    </row>
    <row r="9" ht="15" customHeight="1" s="70">
      <c r="A9" s="81" t="inlineStr">
        <is>
          <t>Horizon</t>
        </is>
      </c>
      <c r="B9" s="88" t="n">
        <v>3</v>
      </c>
      <c r="C9" s="83" t="inlineStr">
        <is>
          <t>years</t>
        </is>
      </c>
      <c r="D9" s="84" t="inlineStr">
        <is>
          <t>Years. Changing this does not extend the sheets; it is recorded for reference.</t>
        </is>
      </c>
    </row>
    <row r="11" ht="16.5" customHeight="1" s="70">
      <c r="A11" s="73" t="inlineStr">
        <is>
          <t>LABOUR RATES — fully loaded</t>
        </is>
      </c>
      <c r="B11" s="74" t="n"/>
      <c r="C11" s="74" t="n"/>
      <c r="D11" s="74" t="n"/>
    </row>
    <row r="12" ht="15" customHeight="1" s="70">
      <c r="A12" s="81" t="inlineStr">
        <is>
          <t>Full-stack developer</t>
        </is>
      </c>
      <c r="B12" s="89" t="n">
        <v>150000</v>
      </c>
      <c r="C12" s="83" t="inlineStr">
        <is>
          <t>₱ / month</t>
        </is>
      </c>
      <c r="D12" s="84" t="inlineStr">
        <is>
          <t>Planning rate at Philippine market. Validate against your own rate card — this drives the whole build estimate.</t>
        </is>
      </c>
    </row>
    <row r="13" ht="15" customHeight="1" s="70">
      <c r="A13" s="81" t="inlineStr">
        <is>
          <t>Designer</t>
        </is>
      </c>
      <c r="B13" s="90" t="n">
        <v>110000</v>
      </c>
      <c r="C13" s="83" t="inlineStr">
        <is>
          <t>₱ / month</t>
        </is>
      </c>
    </row>
    <row r="14" ht="15" customHeight="1" s="70">
      <c r="A14" s="81" t="inlineStr">
        <is>
          <t>PM / BA</t>
        </is>
      </c>
      <c r="B14" s="90" t="n">
        <v>150000</v>
      </c>
      <c r="C14" s="83" t="inlineStr">
        <is>
          <t>₱ / month</t>
        </is>
      </c>
    </row>
    <row r="15" ht="15" customHeight="1" s="70">
      <c r="A15" s="81" t="inlineStr">
        <is>
          <t>HR analyst</t>
        </is>
      </c>
      <c r="B15" s="90" t="n">
        <v>375</v>
      </c>
      <c r="C15" s="83" t="inlineStr">
        <is>
          <t>₱ / hour</t>
        </is>
      </c>
      <c r="D15" s="84" t="inlineStr">
        <is>
          <t>₱60,000 per month ÷ 160 hours. Used for the reconciliation line only.</t>
        </is>
      </c>
    </row>
    <row r="17" ht="16.5" customHeight="1" s="70">
      <c r="A17" s="73" t="inlineStr">
        <is>
          <t>BUILD EFFORT — v2-lean</t>
        </is>
      </c>
      <c r="B17" s="74" t="n"/>
      <c r="C17" s="74" t="n"/>
      <c r="D17" s="74" t="n"/>
    </row>
    <row r="18" ht="15" customHeight="1" s="70">
      <c r="A18" s="81" t="inlineStr">
        <is>
          <t>Developer, year 1</t>
        </is>
      </c>
      <c r="B18" s="91" t="n">
        <v>1.4</v>
      </c>
      <c r="C18" s="83" t="inlineStr">
        <is>
          <t>months</t>
        </is>
      </c>
      <c r="D18" s="84" t="inlineStr">
        <is>
          <t>Board, matching, JD reader, handoff. Net of lever B (Supabase-native) and lever A (referral engine deferred to year 2).</t>
        </is>
      </c>
    </row>
    <row r="19" ht="15" customHeight="1" s="70">
      <c r="A19" s="81" t="inlineStr">
        <is>
          <t>Designer, year 1</t>
        </is>
      </c>
      <c r="B19" s="92" t="n">
        <v>1.5</v>
      </c>
      <c r="C19" s="83" t="inlineStr">
        <is>
          <t>months</t>
        </is>
      </c>
      <c r="D19" s="84" t="inlineStr">
        <is>
          <t>Reduced from 2.5 by reusing the v1 design system already built in the prototype.</t>
        </is>
      </c>
    </row>
    <row r="20" ht="15" customHeight="1" s="70">
      <c r="A20" s="81" t="inlineStr">
        <is>
          <t>Designer allocation</t>
        </is>
      </c>
      <c r="B20" s="87" t="n">
        <v>0.5</v>
      </c>
    </row>
    <row r="21" ht="15" customHeight="1" s="70">
      <c r="A21" s="81" t="inlineStr">
        <is>
          <t>PM / BA, year 1</t>
        </is>
      </c>
      <c r="B21" s="92" t="n">
        <v>4</v>
      </c>
      <c r="C21" s="83" t="inlineStr">
        <is>
          <t>months</t>
        </is>
      </c>
      <c r="D21" s="84" t="inlineStr">
        <is>
          <t>Includes coordination with recruitment on the HC Connect source field.</t>
        </is>
      </c>
    </row>
    <row r="22" ht="15" customHeight="1" s="70">
      <c r="A22" s="81" t="inlineStr">
        <is>
          <t>PM / BA allocation</t>
        </is>
      </c>
      <c r="B22" s="87" t="n">
        <v>0.3</v>
      </c>
    </row>
    <row r="23" ht="15" customHeight="1" s="70">
      <c r="A23" s="81" t="inlineStr">
        <is>
          <t>Security review, DPA assessment, referral-log DPIA</t>
        </is>
      </c>
      <c r="B23" s="90" t="n">
        <v>120000</v>
      </c>
      <c r="C23" s="83" t="inlineStr">
        <is>
          <t>₱</t>
        </is>
      </c>
      <c r="D23" s="84" t="inlineStr">
        <is>
          <t>Raised from v1 by ₱40,000 for the referral-log DPIA. Non-negotiable — it is a launch gate.</t>
        </is>
      </c>
    </row>
    <row r="24" ht="15" customHeight="1" s="70">
      <c r="A24" s="81" t="inlineStr">
        <is>
          <t>Developer, year 2 — deferred referral engine</t>
        </is>
      </c>
      <c r="B24" s="92" t="n">
        <v>0.9</v>
      </c>
      <c r="C24" s="83" t="inlineStr">
        <is>
          <t>months</t>
        </is>
      </c>
      <c r="D24" s="84" t="inlineStr">
        <is>
          <t>Lever A. Build in Q1 instead if a budget review falls inside the first quarter.</t>
        </is>
      </c>
    </row>
    <row r="26" ht="16.5" customHeight="1" s="70">
      <c r="A26" s="73" t="inlineStr">
        <is>
          <t>ANNUAL RUN</t>
        </is>
      </c>
      <c r="B26" s="74" t="n"/>
      <c r="C26" s="74" t="n"/>
      <c r="D26" s="74" t="n"/>
    </row>
    <row r="27" ht="15" customHeight="1" s="70">
      <c r="A27" s="81" t="inlineStr">
        <is>
          <t>Supabase Pro + Auth</t>
        </is>
      </c>
      <c r="B27" s="93" t="n">
        <v>25</v>
      </c>
      <c r="C27" s="83" t="inlineStr">
        <is>
          <t>US$ / month</t>
        </is>
      </c>
      <c r="D27" s="84" t="inlineStr">
        <is>
          <t>Converted at the exchange rate above.</t>
        </is>
      </c>
    </row>
    <row r="28" ht="15" customHeight="1" s="70">
      <c r="A28" s="81" t="inlineStr">
        <is>
          <t>Claude API — Sonnet 5, batched</t>
        </is>
      </c>
      <c r="B28" s="90" t="n">
        <v>40544</v>
      </c>
      <c r="C28" s="83" t="inlineStr">
        <is>
          <t>₱ / year</t>
        </is>
      </c>
      <c r="D28" s="84" t="inlineStr">
        <is>
          <t>US$380/yr at 637 people, scaled by headcount and converted at the rate above. 7,686 scoring pairs/month at 1,500 in / 250 out tokens, Batch API at 50% of list.</t>
        </is>
      </c>
    </row>
    <row r="29" ht="15" customHeight="1" s="70">
      <c r="A29" s="81" t="inlineStr">
        <is>
          <t>Transactional email</t>
        </is>
      </c>
      <c r="B29" s="90" t="n">
        <v>15987</v>
      </c>
      <c r="C29" s="83" t="inlineStr">
        <is>
          <t>₱ / year</t>
        </is>
      </c>
      <c r="D29" s="84" t="inlineStr">
        <is>
          <t>US$150/yr at 637 people, scaled by headcount. Includes the "did you apply?" nudge — the cheapest line here and the one that converts a click into a countable application.</t>
        </is>
      </c>
    </row>
    <row r="30" ht="15" customHeight="1" s="70">
      <c r="A30" s="81" t="inlineStr">
        <is>
          <t>Monitoring and logging</t>
        </is>
      </c>
      <c r="B30" s="90" t="n">
        <v>7320</v>
      </c>
      <c r="C30" s="83" t="inlineStr">
        <is>
          <t>₱ / year</t>
        </is>
      </c>
      <c r="D30" s="69" t="inlineStr">
        <is>
          <t>US$120/yr, converted at the rate above.</t>
        </is>
      </c>
    </row>
    <row r="31" ht="15" customHeight="1" s="70">
      <c r="A31" s="81" t="inlineStr">
        <is>
          <t>Reconciliation effort</t>
        </is>
      </c>
      <c r="B31" s="92" t="n">
        <v>6</v>
      </c>
      <c r="C31" s="83" t="inlineStr">
        <is>
          <t>hours / quarter</t>
        </is>
      </c>
      <c r="D31" s="84" t="inlineStr">
        <is>
          <t>Quarterly, not monthly, and up from 4 hours with the larger population. Year 2 onward — year 1 has no referral engine to reconcile.</t>
        </is>
      </c>
    </row>
    <row r="33" ht="16.5" customHeight="1" s="70">
      <c r="A33" s="73" t="inlineStr">
        <is>
          <t>BENEFITS</t>
        </is>
      </c>
      <c r="B33" s="74" t="n"/>
      <c r="C33" s="74" t="n"/>
      <c r="D33" s="74" t="n"/>
    </row>
    <row r="34" ht="15" customHeight="1" s="70">
      <c r="A34" s="81" t="inlineStr">
        <is>
          <t>Avoided hiring cost per internal fill</t>
        </is>
      </c>
      <c r="B34" s="89" t="n">
        <v>17095.24</v>
      </c>
      <c r="C34" s="83" t="inlineStr">
        <is>
          <t>₱</t>
        </is>
      </c>
      <c r="D34" s="84" t="inlineStr">
        <is>
          <t>TA cost-per-hire file, 2025, blended on the mix TA actually hired: 186 Band B at P6,977 and 103 Band C at P35,367. Replaces the P350,000 agency fee carried in earlier drafts, which was cited to the v1 business case and does not appear in it.</t>
        </is>
      </c>
    </row>
    <row r="35" ht="15" customHeight="1" s="70">
      <c r="A35" s="81" t="inlineStr">
        <is>
          <t>Annual basic salary — IT + Operations (non-mass) + HR</t>
        </is>
      </c>
      <c r="B35" s="90" t="n">
        <v>1029634.68</v>
      </c>
      <c r="C35" s="83" t="inlineStr">
        <is>
          <t>₱</t>
        </is>
      </c>
      <c r="D35" s="84" t="inlineStr">
        <is>
          <t>Payroll average monthly basic, September 2026 (P85,802.89) annualised x12. Basic only: the mandatory 13th month and employer contributions are excluded, so the benefit side is stated low. Drives the replacement cost on Benefits.</t>
        </is>
      </c>
    </row>
    <row r="36" ht="15" customHeight="1" s="70">
      <c r="A36" s="81" t="inlineStr">
        <is>
          <t>Replacement cost, as % of salary</t>
        </is>
      </c>
      <c r="B36" s="87" t="n">
        <v>0.75</v>
      </c>
      <c r="D36" s="84" t="inlineStr">
        <is>
          <t>Recruitment + ramp + lost output, as a share of annual basic.</t>
        </is>
      </c>
    </row>
    <row r="37" ht="15" customHeight="1" s="70">
      <c r="A37" s="81" t="inlineStr">
        <is>
          <t>Working days per year</t>
        </is>
      </c>
      <c r="B37" s="85" t="n">
        <v>260</v>
      </c>
      <c r="C37" s="83" t="inlineStr">
        <is>
          <t>days</t>
        </is>
      </c>
    </row>
    <row r="38" ht="15" customHeight="1" s="70">
      <c r="A38" s="81" t="inlineStr">
        <is>
          <t>Vacancy days saved per internal fill</t>
        </is>
      </c>
      <c r="B38" s="85" t="n">
        <v>37</v>
      </c>
      <c r="C38" s="83" t="inlineStr">
        <is>
          <t>days</t>
        </is>
      </c>
      <c r="D38" s="84" t="inlineStr">
        <is>
          <t>21 days to fill internally against 58 externally. Costed on the blended Band B/C salary below, not on the non-mass average.</t>
        </is>
      </c>
    </row>
    <row r="39" ht="15" customHeight="1" s="70">
      <c r="A39" s="81" t="inlineStr">
        <is>
          <t>Gig / DJI / service-offer participants</t>
        </is>
      </c>
      <c r="B39" s="94" t="n">
        <v>120</v>
      </c>
      <c r="C39" s="83" t="inlineStr">
        <is>
          <t>per year</t>
        </is>
      </c>
      <c r="D39" s="84" t="inlineStr">
        <is>
          <t>Non-mass participants only, 19% of the 637. This workbook therefore reproduces the CONSERVATIVE case in the deck — mass-operations retention benefit excluded, BCR 3.8. docs/v2-cba-model.py adds 54 mass-ops participants at P15,144.06/month basic for the headline BCR 4.0.</t>
        </is>
      </c>
    </row>
    <row r="40" ht="22.35" customHeight="1" s="70">
      <c r="A40" s="81" t="inlineStr">
        <is>
          <t>Retention lift among participants</t>
        </is>
      </c>
      <c r="B40" s="86" t="n">
        <v>0.03</v>
      </c>
      <c r="C40" s="83" t="inlineStr">
        <is>
          <t>points</t>
        </is>
      </c>
      <c r="D40" s="84" t="inlineStr">
        <is>
          <t>JUDGEMENT, NOT MEASUREMENT. Observed gap is 13 points (94% vs 81%) and is almost certainly selection bias. Discounted hard. The CBA sheet also reports the case with this set to zero.</t>
        </is>
      </c>
    </row>
    <row r="41" ht="15" customHeight="1" s="70">
      <c r="A41" s="81" t="inlineStr">
        <is>
          <t>Year-1 benefit ramp</t>
        </is>
      </c>
      <c r="B41" s="87" t="n">
        <v>0.4</v>
      </c>
      <c r="D41" s="84" t="inlineStr">
        <is>
          <t>Benefits accrue for part of year 1 only, during build and adoption.</t>
        </is>
      </c>
    </row>
    <row r="42">
      <c r="A42" s="81" t="inlineStr">
        <is>
          <t>Annual basic salary — blended Band B / Band C</t>
        </is>
      </c>
      <c r="B42" s="85" t="n">
        <v>677591.7662283736</v>
      </c>
      <c r="C42" s="83" t="inlineStr">
        <is>
          <t>₱</t>
        </is>
      </c>
      <c r="D42" s="84" t="inlineStr">
        <is>
          <t>Payroll average monthly basic weighted on the 2025 external-hire mix (186 Band B, 103 Band C) = P56,465.98/month, annualised x12. This is the right basis for vacancy days: it is Band B and C roles that internal mobility fills.</t>
        </is>
      </c>
    </row>
    <row r="43" ht="16.5" customHeight="1" s="70">
      <c r="A43" s="73" t="inlineStr">
        <is>
          <t>SCENARIOS — attributed internal fills per year</t>
        </is>
      </c>
      <c r="B43" s="74" t="n"/>
      <c r="C43" s="74" t="n"/>
      <c r="D43" s="74" t="n"/>
    </row>
    <row r="44" ht="15" customHeight="1" s="70">
      <c r="A44" s="81" t="inlineStr">
        <is>
          <t>Conservative</t>
        </is>
      </c>
      <c r="B44" s="85" t="n">
        <v>2</v>
      </c>
      <c r="C44" s="83" t="inlineStr">
        <is>
          <t>fills / year</t>
        </is>
      </c>
    </row>
    <row r="45" ht="15" customHeight="1" s="70">
      <c r="A45" s="81" t="inlineStr">
        <is>
          <t>Base</t>
        </is>
      </c>
      <c r="B45" s="94" t="n">
        <v>4</v>
      </c>
      <c r="C45" s="83" t="inlineStr">
        <is>
          <t>fills / year</t>
        </is>
      </c>
      <c r="D45" s="84" t="inlineStr">
        <is>
          <t>Roughly one internal fill in fifteen of the ~60 internal requisitions opened a year.</t>
        </is>
      </c>
    </row>
    <row r="46" ht="15" customHeight="1" s="70">
      <c r="A46" s="81" t="inlineStr">
        <is>
          <t>Optimistic</t>
        </is>
      </c>
      <c r="B46" s="85" t="n">
        <v>7</v>
      </c>
      <c r="C46" s="83" t="inlineStr">
        <is>
          <t>fills / year</t>
        </is>
      </c>
    </row>
    <row r="48" ht="16.5" customHeight="1" s="70">
      <c r="A48" s="73" t="inlineStr">
        <is>
          <t>EXTERNAL PLATFORM — RFP planning bands, NOT quotes</t>
        </is>
      </c>
      <c r="B48" s="74" t="n"/>
      <c r="C48" s="74" t="n"/>
      <c r="D48" s="74" t="n"/>
    </row>
    <row r="49" ht="15" customHeight="1" s="70">
      <c r="A49" s="81" t="inlineStr">
        <is>
          <t>Annual licence — low</t>
        </is>
      </c>
      <c r="B49" s="93" t="n">
        <v>50000</v>
      </c>
      <c r="C49" s="83" t="inlineStr">
        <is>
          <t>US$ / year</t>
        </is>
      </c>
      <c r="D49" s="84" t="inlineStr">
        <is>
          <t>At 1,113 seats the binding constraint is the vendor minimum contract value, not the per-seat rate.</t>
        </is>
      </c>
    </row>
    <row r="50" ht="15" customHeight="1" s="70">
      <c r="A50" s="81" t="inlineStr">
        <is>
          <t>Annual licence — high</t>
        </is>
      </c>
      <c r="B50" s="93" t="n">
        <v>120000</v>
      </c>
      <c r="C50" s="83" t="inlineStr">
        <is>
          <t>US$ / year</t>
        </is>
      </c>
    </row>
    <row r="51" ht="15" customHeight="1" s="70">
      <c r="A51" s="81" t="inlineStr">
        <is>
          <t>Implementation — low</t>
        </is>
      </c>
      <c r="B51" s="93" t="n">
        <v>25000</v>
      </c>
      <c r="C51" s="83" t="inlineStr">
        <is>
          <t>US$</t>
        </is>
      </c>
      <c r="D51" s="84" t="inlineStr">
        <is>
          <t>One-off.</t>
        </is>
      </c>
    </row>
    <row r="52" ht="15" customHeight="1" s="70">
      <c r="A52" s="81" t="inlineStr">
        <is>
          <t>Implementation — high</t>
        </is>
      </c>
      <c r="B52" s="93" t="n">
        <v>100000</v>
      </c>
      <c r="C52" s="83" t="inlineStr">
        <is>
          <t>US$</t>
        </is>
      </c>
      <c r="D52" s="84" t="inlineStr">
        <is>
          <t>One-off.</t>
        </is>
      </c>
    </row>
    <row r="53" ht="15" customHeight="1" s="70">
      <c r="A53" s="81" t="inlineStr">
        <is>
          <t>HRIS + SSO integration services — low</t>
        </is>
      </c>
      <c r="B53" s="93" t="n">
        <v>0</v>
      </c>
      <c r="C53" s="83" t="inlineStr">
        <is>
          <t>US$</t>
        </is>
      </c>
      <c r="D53" s="84" t="inlineStr">
        <is>
          <t>One-off.</t>
        </is>
      </c>
    </row>
    <row r="54" ht="15" customHeight="1" s="70">
      <c r="A54" s="81" t="inlineStr">
        <is>
          <t>HRIS + SSO integration services — high</t>
        </is>
      </c>
      <c r="B54" s="93" t="n">
        <v>20000</v>
      </c>
      <c r="C54" s="83" t="inlineStr">
        <is>
          <t>US$</t>
        </is>
      </c>
      <c r="D54" s="84" t="inlineStr">
        <is>
          <t>One-off.</t>
        </is>
      </c>
    </row>
    <row r="56" ht="33.75" customHeight="1" s="70">
      <c r="A56" s="95" t="inlineStr">
        <is>
          <t>Source: derived from how enterprise HR SaaS is typically structured. Gloat, Fuel50, Eightfold and Workday Talent Marketplace do not publish per-seat pricing. Do not present these as vendor figures.</t>
        </is>
      </c>
    </row>
  </sheetData>
  <mergeCells count="1">
    <mergeCell ref="A56:D5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52" customWidth="1" style="69" min="1" max="1"/>
    <col width="14" customWidth="1" style="69" min="2" max="3"/>
    <col width="15" customWidth="1" style="69" min="4" max="5"/>
  </cols>
  <sheetData>
    <row r="1" ht="21" customHeight="1" s="70">
      <c r="A1" s="71" t="inlineStr">
        <is>
          <t>Costs — v2-lean</t>
        </is>
      </c>
    </row>
    <row r="2" ht="15" customHeight="1" s="70">
      <c r="A2" s="72" t="inlineStr">
        <is>
          <t>Build front-loaded, run flat. Every figure formula-linked to Assumptions.</t>
        </is>
      </c>
    </row>
    <row r="4" ht="16.5" customHeight="1" s="70">
      <c r="A4" s="73" t="inlineStr">
        <is>
          <t>BUILD — YEAR 1 · our planning estimate (superseded — see IT costing at right)</t>
        </is>
      </c>
      <c r="B4" s="74" t="n"/>
      <c r="C4" s="74" t="n"/>
      <c r="D4" s="74" t="n"/>
      <c r="E4" s="74" t="n"/>
      <c r="F4" s="96" t="inlineStr">
        <is>
          <t>BUILD — AS COSTED BY IT</t>
        </is>
      </c>
    </row>
    <row r="5" ht="15" customHeight="1" s="70">
      <c r="A5" s="97" t="inlineStr">
        <is>
          <t>Item</t>
        </is>
      </c>
      <c r="B5" s="98" t="inlineStr">
        <is>
          <t>Months</t>
        </is>
      </c>
      <c r="C5" s="98" t="inlineStr">
        <is>
          <t>Rate (₱/month)</t>
        </is>
      </c>
      <c r="D5" s="98" t="inlineStr">
        <is>
          <t>Cost (₱)</t>
        </is>
      </c>
      <c r="F5" s="96" t="inlineStr">
        <is>
          <t>Item</t>
        </is>
      </c>
      <c r="G5" s="99" t="inlineStr">
        <is>
          <t>Cost (₱)</t>
        </is>
      </c>
    </row>
    <row r="6" ht="15" customHeight="1" s="70">
      <c r="A6" s="81" t="inlineStr">
        <is>
          <t>Full-stack developer — board, matching, JD reader, handoff</t>
        </is>
      </c>
      <c r="B6" s="100">
        <f>Assumptions!$B$18</f>
        <v/>
      </c>
      <c r="C6" s="101">
        <f>Assumptions!$B$12</f>
        <v/>
      </c>
      <c r="D6" s="102">
        <f>B6*C6</f>
        <v/>
      </c>
      <c r="F6" s="103" t="inlineStr">
        <is>
          <t>Total build, costed by IT in man-hours</t>
        </is>
      </c>
      <c r="G6" s="104" t="n">
        <v>1785500</v>
      </c>
    </row>
    <row r="7" ht="15" customHeight="1" s="70">
      <c r="A7" s="81" t="inlineStr">
        <is>
          <t>Designer — reuses the v1 design system</t>
        </is>
      </c>
      <c r="B7" s="100">
        <f>Assumptions!$B$19*Assumptions!$B$20</f>
        <v/>
      </c>
      <c r="C7" s="101">
        <f>Assumptions!$B$13</f>
        <v/>
      </c>
      <c r="D7" s="102">
        <f>B7*C7</f>
        <v/>
      </c>
      <c r="F7" s="103" t="inlineStr">
        <is>
          <t>Year 1 — promotion, matching, JD reader, handoff</t>
        </is>
      </c>
      <c r="G7" s="105" t="n">
        <v>1454200</v>
      </c>
    </row>
    <row r="8" ht="15" customHeight="1" s="70">
      <c r="A8" s="81" t="inlineStr">
        <is>
          <t>PM / BA — incl. recruitment coordination on the source field</t>
        </is>
      </c>
      <c r="B8" s="100">
        <f>Assumptions!$B$21*Assumptions!$B$22</f>
        <v/>
      </c>
      <c r="C8" s="101">
        <f>Assumptions!$B$14</f>
        <v/>
      </c>
      <c r="D8" s="102">
        <f>B8*C8</f>
        <v/>
      </c>
      <c r="F8" s="103" t="inlineStr">
        <is>
          <t>Year 2 — the deferred referral engine (lever A)</t>
        </is>
      </c>
      <c r="G8" s="105">
        <f>G6-G7</f>
        <v/>
      </c>
    </row>
    <row r="9" ht="15" customHeight="1" s="70">
      <c r="A9" s="81" t="inlineStr">
        <is>
          <t>Security review + DPA assessment + referral-log DPIA</t>
        </is>
      </c>
      <c r="D9" s="101">
        <f>Assumptions!$B$23</f>
        <v/>
      </c>
      <c r="F9" s="69" t="inlineStr">
        <is>
          <t>Phased on the ship-promotion-first plan. Change G6 or G7 and the whole model follows.</t>
        </is>
      </c>
    </row>
    <row r="10" ht="15" customHeight="1" s="70">
      <c r="A10" s="75" t="inlineStr">
        <is>
          <t>Subtotal</t>
        </is>
      </c>
      <c r="D10" s="106">
        <f>SUM(D6:D9)</f>
        <v/>
      </c>
    </row>
    <row r="11" ht="15" customHeight="1" s="70">
      <c r="A11" s="81" t="inlineStr">
        <is>
          <t>Contingency</t>
        </is>
      </c>
      <c r="C11" s="107">
        <f>Assumptions!$B$8</f>
        <v/>
      </c>
      <c r="D11" s="102">
        <f>D10*C11</f>
        <v/>
      </c>
    </row>
    <row r="12" ht="15" customHeight="1" s="70">
      <c r="A12" s="108" t="inlineStr">
        <is>
          <t>PLANNING ESTIMATE, YEAR 1</t>
        </is>
      </c>
      <c r="B12" s="109" t="n"/>
      <c r="C12" s="109" t="n"/>
      <c r="D12" s="110">
        <f>D10+D11</f>
        <v/>
      </c>
    </row>
    <row r="14" ht="16.5" customHeight="1" s="70">
      <c r="A14" s="73" t="inlineStr">
        <is>
          <t>BUILD — YEAR 2 · our planning estimate (superseded — see IT costing at right)</t>
        </is>
      </c>
      <c r="B14" s="74" t="n"/>
      <c r="C14" s="74" t="n"/>
      <c r="D14" s="74" t="n"/>
      <c r="E14" s="74" t="n"/>
    </row>
    <row r="15" ht="15" customHeight="1" s="70">
      <c r="A15" s="97" t="inlineStr">
        <is>
          <t>Item</t>
        </is>
      </c>
      <c r="B15" s="98" t="inlineStr">
        <is>
          <t>Months</t>
        </is>
      </c>
      <c r="C15" s="98" t="inlineStr">
        <is>
          <t>Rate (₱/month)</t>
        </is>
      </c>
      <c r="D15" s="98" t="inlineStr">
        <is>
          <t>Cost (₱)</t>
        </is>
      </c>
    </row>
    <row r="16" ht="15" customHeight="1" s="70">
      <c r="A16" s="81" t="inlineStr">
        <is>
          <t>Full-stack developer — referral engine + attribution reporting</t>
        </is>
      </c>
      <c r="B16" s="100">
        <f>Assumptions!$B$24</f>
        <v/>
      </c>
      <c r="C16" s="101">
        <f>Assumptions!$B$12</f>
        <v/>
      </c>
      <c r="D16" s="102">
        <f>B16*C16</f>
        <v/>
      </c>
    </row>
    <row r="17" ht="15" customHeight="1" s="70">
      <c r="A17" s="81" t="inlineStr">
        <is>
          <t>Contingency</t>
        </is>
      </c>
      <c r="C17" s="107">
        <f>Assumptions!$B$8</f>
        <v/>
      </c>
      <c r="D17" s="102">
        <f>D16*C17</f>
        <v/>
      </c>
    </row>
    <row r="18" ht="15" customHeight="1" s="70">
      <c r="A18" s="108" t="inlineStr">
        <is>
          <t>PLANNING ESTIMATE, YEAR 2</t>
        </is>
      </c>
      <c r="B18" s="109" t="n"/>
      <c r="C18" s="109" t="n"/>
      <c r="D18" s="110">
        <f>D16+D17</f>
        <v/>
      </c>
    </row>
    <row r="20" ht="16.5" customHeight="1" s="70">
      <c r="A20" s="73" t="inlineStr">
        <is>
          <t>ANNUAL RUN</t>
        </is>
      </c>
      <c r="B20" s="74" t="n"/>
      <c r="C20" s="74" t="n"/>
      <c r="D20" s="74" t="n"/>
      <c r="E20" s="74" t="n"/>
    </row>
    <row r="21" ht="15" customHeight="1" s="70">
      <c r="A21" s="97" t="inlineStr">
        <is>
          <t>Item</t>
        </is>
      </c>
      <c r="B21" s="98" t="inlineStr">
        <is>
          <t>Year 1 (₱)</t>
        </is>
      </c>
      <c r="C21" s="98" t="inlineStr">
        <is>
          <t>Year 2+ (₱)</t>
        </is>
      </c>
    </row>
    <row r="22" ht="15" customHeight="1" s="70">
      <c r="A22" s="81" t="inlineStr">
        <is>
          <t>Supabase Pro + Auth</t>
        </is>
      </c>
      <c r="B22" s="102">
        <f>Assumptions!$B$27*12*Assumptions!$B$5</f>
        <v/>
      </c>
      <c r="C22" s="102">
        <f>B22</f>
        <v/>
      </c>
    </row>
    <row r="23" ht="15" customHeight="1" s="70">
      <c r="A23" s="81" t="inlineStr">
        <is>
          <t>Claude API — Sonnet 5, batched</t>
        </is>
      </c>
      <c r="B23" s="101">
        <f>Assumptions!$B$28</f>
        <v/>
      </c>
      <c r="C23" s="102">
        <f>B23</f>
        <v/>
      </c>
    </row>
    <row r="24" ht="15" customHeight="1" s="70">
      <c r="A24" s="81" t="inlineStr">
        <is>
          <t>Transactional email, incl. the nudge</t>
        </is>
      </c>
      <c r="B24" s="101">
        <f>Assumptions!$B$29</f>
        <v/>
      </c>
      <c r="C24" s="102">
        <f>B24</f>
        <v/>
      </c>
    </row>
    <row r="25" ht="15" customHeight="1" s="70">
      <c r="A25" s="81" t="inlineStr">
        <is>
          <t>Monitoring and logging</t>
        </is>
      </c>
      <c r="B25" s="101">
        <f>Assumptions!$B$30</f>
        <v/>
      </c>
      <c r="C25" s="102">
        <f>B25</f>
        <v/>
      </c>
    </row>
    <row r="26" ht="15" customHeight="1" s="70">
      <c r="A26" s="81" t="inlineStr">
        <is>
          <t>Reconciliation — quarterly, PCD analyst</t>
        </is>
      </c>
      <c r="B26" s="102" t="n">
        <v>0</v>
      </c>
      <c r="C26" s="102">
        <f>Assumptions!$B$31*4*Assumptions!$B$15</f>
        <v/>
      </c>
    </row>
    <row r="27" ht="15" customHeight="1" s="70">
      <c r="A27" s="111" t="inlineStr">
        <is>
          <t>Note: year 1 has no referral engine to reconcile — lever A defers it to year 2.</t>
        </is>
      </c>
    </row>
    <row r="28" ht="15" customHeight="1" s="70">
      <c r="A28" s="108" t="inlineStr">
        <is>
          <t>RUN, PER YEAR</t>
        </is>
      </c>
      <c r="B28" s="110">
        <f>SUM(B22:B26)</f>
        <v/>
      </c>
      <c r="C28" s="110">
        <f>SUM(C22:C26)</f>
        <v/>
      </c>
    </row>
    <row r="30" ht="16.5" customHeight="1" s="70">
      <c r="A30" s="73" t="inlineStr">
        <is>
          <t>THREE-YEAR TOTAL COST OF OWNERSHIP</t>
        </is>
      </c>
      <c r="B30" s="74" t="n"/>
      <c r="C30" s="74" t="n"/>
      <c r="D30" s="74" t="n"/>
      <c r="E30" s="74" t="n"/>
    </row>
    <row r="31" ht="15" customHeight="1" s="70">
      <c r="A31" s="97" t="n"/>
      <c r="B31" s="98" t="inlineStr">
        <is>
          <t>Year 1</t>
        </is>
      </c>
      <c r="C31" s="98" t="inlineStr">
        <is>
          <t>Year 2</t>
        </is>
      </c>
      <c r="D31" s="98" t="inlineStr">
        <is>
          <t>Year 3</t>
        </is>
      </c>
      <c r="E31" s="98" t="inlineStr">
        <is>
          <t>3-year total</t>
        </is>
      </c>
    </row>
    <row r="32" ht="15" customHeight="1" s="70">
      <c r="A32" s="81" t="inlineStr">
        <is>
          <t>Build</t>
        </is>
      </c>
      <c r="B32" s="102">
        <f>G7</f>
        <v/>
      </c>
      <c r="C32" s="102">
        <f>G8</f>
        <v/>
      </c>
      <c r="D32" s="102" t="n">
        <v>0</v>
      </c>
      <c r="E32" s="102">
        <f>SUM(B32:D32)</f>
        <v/>
      </c>
    </row>
    <row r="33" ht="15" customHeight="1" s="70">
      <c r="A33" s="81" t="inlineStr">
        <is>
          <t>Run</t>
        </is>
      </c>
      <c r="B33" s="102">
        <f>B28</f>
        <v/>
      </c>
      <c r="C33" s="102">
        <f>C28</f>
        <v/>
      </c>
      <c r="D33" s="102">
        <f>C28</f>
        <v/>
      </c>
      <c r="E33" s="102">
        <f>SUM(B33:D33)</f>
        <v/>
      </c>
    </row>
    <row r="34" ht="15" customHeight="1" s="70">
      <c r="A34" s="108" t="inlineStr">
        <is>
          <t>TOTAL (₱)</t>
        </is>
      </c>
      <c r="B34" s="110">
        <f>SUM(B32:B33)</f>
        <v/>
      </c>
      <c r="C34" s="110">
        <f>SUM(C32:C33)</f>
        <v/>
      </c>
      <c r="D34" s="110">
        <f>SUM(D32:D33)</f>
        <v/>
      </c>
      <c r="E34" s="110">
        <f>SUM(E32:E33)</f>
        <v/>
      </c>
    </row>
    <row r="35" ht="15" customHeight="1" s="70">
      <c r="A35" s="75" t="inlineStr">
        <is>
          <t>TOTAL (US$)</t>
        </is>
      </c>
      <c r="B35" s="112">
        <f>IFERROR(B34/Assumptions!$B$5,"n/a")</f>
        <v/>
      </c>
      <c r="C35" s="112">
        <f>IFERROR(C34/Assumptions!$B$5,"n/a")</f>
        <v/>
      </c>
      <c r="D35" s="112">
        <f>IFERROR(D34/Assumptions!$B$5,"n/a")</f>
        <v/>
      </c>
      <c r="E35" s="112">
        <f>IFERROR(E34/Assumptions!$B$5,"n/a")</f>
        <v/>
      </c>
    </row>
    <row r="36" ht="15" customHeight="1" s="70">
      <c r="A36" s="81" t="inlineStr">
        <is>
          <t>Per employee, 3 years</t>
        </is>
      </c>
      <c r="E36" s="102">
        <f>IFERROR(E34/Assumptions!$B$6,"n/a")</f>
        <v/>
      </c>
    </row>
    <row r="37" ht="15" customHeight="1" s="70">
      <c r="A37" s="81" t="inlineStr">
        <is>
          <t>Per employee, per year</t>
        </is>
      </c>
      <c r="E37" s="102">
        <f>IFERROR(E34/Assumptions!$B$6/3,"n/a")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4" customWidth="1" style="69" min="1" max="1"/>
    <col width="15" customWidth="1" style="69" min="2" max="3"/>
    <col width="17" customWidth="1" style="69" min="4" max="5"/>
  </cols>
  <sheetData>
    <row r="1" ht="21" customHeight="1" s="70">
      <c r="A1" s="71" t="inlineStr">
        <is>
          <t>v2-lean against buying a platform</t>
        </is>
      </c>
    </row>
    <row r="2" ht="15" customHeight="1" s="70">
      <c r="A2" s="72" t="inlineStr">
        <is>
          <t>Bands are RFP planning estimates, NOT quotes. No vendor here publishes per-seat pricing.</t>
        </is>
      </c>
    </row>
    <row r="4" ht="16.5" customHeight="1" s="70">
      <c r="A4" s="73" t="inlineStr">
        <is>
          <t>EXTERNAL PLATFORM — Gloat, Fuel50, Eightfold, Workday</t>
        </is>
      </c>
      <c r="B4" s="74" t="n"/>
      <c r="C4" s="74" t="n"/>
      <c r="D4" s="74" t="n"/>
      <c r="E4" s="74" t="n"/>
    </row>
    <row r="5" ht="15" customHeight="1" s="70">
      <c r="A5" s="97" t="n"/>
      <c r="B5" s="98" t="inlineStr">
        <is>
          <t>US$ low</t>
        </is>
      </c>
      <c r="C5" s="98" t="inlineStr">
        <is>
          <t>US$ high</t>
        </is>
      </c>
      <c r="D5" s="98" t="inlineStr">
        <is>
          <t>₱ low</t>
        </is>
      </c>
      <c r="E5" s="98" t="inlineStr">
        <is>
          <t>₱ high</t>
        </is>
      </c>
    </row>
    <row r="6" ht="15" customHeight="1" s="70">
      <c r="A6" s="81" t="inlineStr">
        <is>
          <t>Year 1 — licence + implementation + integration</t>
        </is>
      </c>
      <c r="B6" s="113">
        <f>Assumptions!$B$49+Assumptions!$B$51+Assumptions!$B$53</f>
        <v/>
      </c>
      <c r="C6" s="113">
        <f>Assumptions!$B$50+Assumptions!$B$52+Assumptions!$B$54</f>
        <v/>
      </c>
      <c r="D6" s="102">
        <f>B6*Assumptions!$B$5</f>
        <v/>
      </c>
      <c r="E6" s="102">
        <f>C6*Assumptions!$B$5</f>
        <v/>
      </c>
    </row>
    <row r="7" ht="15" customHeight="1" s="70">
      <c r="A7" s="81" t="inlineStr">
        <is>
          <t>Year 2 — licence only</t>
        </is>
      </c>
      <c r="B7" s="113">
        <f>Assumptions!$B$49</f>
        <v/>
      </c>
      <c r="C7" s="113">
        <f>Assumptions!$B$50</f>
        <v/>
      </c>
      <c r="D7" s="102">
        <f>B7*Assumptions!$B$5</f>
        <v/>
      </c>
      <c r="E7" s="102">
        <f>C7*Assumptions!$B$5</f>
        <v/>
      </c>
    </row>
    <row r="8" ht="15" customHeight="1" s="70">
      <c r="A8" s="81" t="inlineStr">
        <is>
          <t>Year 3 — licence only</t>
        </is>
      </c>
      <c r="B8" s="113">
        <f>Assumptions!$B$49</f>
        <v/>
      </c>
      <c r="C8" s="113">
        <f>Assumptions!$B$50</f>
        <v/>
      </c>
      <c r="D8" s="102">
        <f>B8*Assumptions!$B$5</f>
        <v/>
      </c>
      <c r="E8" s="102">
        <f>C8*Assumptions!$B$5</f>
        <v/>
      </c>
    </row>
    <row r="9" ht="15" customHeight="1" s="70">
      <c r="A9" s="108" t="inlineStr">
        <is>
          <t>THREE-YEAR TOTAL</t>
        </is>
      </c>
      <c r="B9" s="114">
        <f>SUM(B6:B8)</f>
        <v/>
      </c>
      <c r="C9" s="114">
        <f>SUM(C6:C8)</f>
        <v/>
      </c>
      <c r="D9" s="110">
        <f>SUM(D6:D8)</f>
        <v/>
      </c>
      <c r="E9" s="110">
        <f>SUM(E6:E8)</f>
        <v/>
      </c>
    </row>
    <row r="10" ht="15" customHeight="1" s="70">
      <c r="A10" s="81" t="inlineStr">
        <is>
          <t>Per employee, 3 years</t>
        </is>
      </c>
      <c r="D10" s="102">
        <f>IFERROR(D9/Assumptions!$B$6,"n/a")</f>
        <v/>
      </c>
      <c r="E10" s="102">
        <f>IFERROR(E9/Assumptions!$B$6,"n/a")</f>
        <v/>
      </c>
    </row>
    <row r="12" ht="16.5" customHeight="1" s="70">
      <c r="A12" s="73" t="inlineStr">
        <is>
          <t>v2-LEAN — BUILD IN-HOUSE</t>
        </is>
      </c>
      <c r="B12" s="74" t="n"/>
      <c r="C12" s="74" t="n"/>
      <c r="D12" s="74" t="n"/>
      <c r="E12" s="74" t="n"/>
    </row>
    <row r="13" ht="15" customHeight="1" s="70">
      <c r="A13" s="97" t="n"/>
      <c r="B13" s="98" t="inlineStr">
        <is>
          <t>US$</t>
        </is>
      </c>
      <c r="C13" s="98" t="n"/>
      <c r="D13" s="98" t="inlineStr">
        <is>
          <t>₱</t>
        </is>
      </c>
      <c r="E13" s="98" t="n"/>
    </row>
    <row r="14" ht="15" customHeight="1" s="70">
      <c r="A14" s="108" t="inlineStr">
        <is>
          <t>THREE-YEAR TOTAL</t>
        </is>
      </c>
      <c r="B14" s="115">
        <f>IFERROR(Costs!$E$34/Assumptions!$B$5,"n/a")</f>
        <v/>
      </c>
      <c r="C14" s="109" t="n"/>
      <c r="D14" s="116">
        <f>Costs!$E$34</f>
        <v/>
      </c>
      <c r="E14" s="109" t="n"/>
    </row>
    <row r="15" ht="15" customHeight="1" s="70">
      <c r="A15" s="81" t="inlineStr">
        <is>
          <t>Per employee, 3 years</t>
        </is>
      </c>
      <c r="D15" s="102">
        <f>IFERROR(D14/Assumptions!$B$6,"n/a")</f>
        <v/>
      </c>
    </row>
    <row r="17" ht="16.5" customHeight="1" s="70">
      <c r="A17" s="73" t="inlineStr">
        <is>
          <t>THE COMPARISON</t>
        </is>
      </c>
      <c r="B17" s="74" t="n"/>
      <c r="C17" s="74" t="n"/>
      <c r="D17" s="74" t="n"/>
      <c r="E17" s="74" t="n"/>
    </row>
    <row r="18" ht="23.85" customHeight="1" s="70">
      <c r="A18" s="97" t="n"/>
      <c r="B18" s="98" t="inlineStr">
        <is>
          <t>Against the low band</t>
        </is>
      </c>
      <c r="C18" s="98" t="inlineStr">
        <is>
          <t>Against the high band</t>
        </is>
      </c>
    </row>
    <row r="19" ht="15" customHeight="1" s="70">
      <c r="A19" s="81" t="inlineStr">
        <is>
          <t>How many times more expensive buying is</t>
        </is>
      </c>
      <c r="B19" s="117">
        <f>IFERROR(D9/D14,"n/a")</f>
        <v/>
      </c>
      <c r="C19" s="117">
        <f>IFERROR(E9/D14,"n/a")</f>
        <v/>
      </c>
    </row>
    <row r="20" ht="15" customHeight="1" s="70">
      <c r="A20" s="81" t="inlineStr">
        <is>
          <t>Three-year cost difference</t>
        </is>
      </c>
      <c r="B20" s="102">
        <f>D9-D14</f>
        <v/>
      </c>
      <c r="C20" s="102">
        <f>E9-D14</f>
        <v/>
      </c>
    </row>
    <row r="22" ht="16.5" customHeight="1" s="70">
      <c r="A22" s="73" t="inlineStr">
        <is>
          <t>BREAK-EVEN — attributed internal hires needed over three years</t>
        </is>
      </c>
      <c r="B22" s="74" t="n"/>
      <c r="C22" s="74" t="n"/>
      <c r="D22" s="74" t="n"/>
      <c r="E22" s="74" t="n"/>
    </row>
    <row r="23" ht="30" customHeight="1" s="70">
      <c r="A23" s="118" t="inlineStr">
        <is>
          <t>The framing that lands in a decision forum: how many internal hires each option must attract just to cover its own cost, at the avoided agency fee on Assumptions.</t>
        </is>
      </c>
    </row>
    <row r="24" ht="15" customHeight="1" s="70">
      <c r="A24" s="97" t="n"/>
      <c r="B24" s="98" t="inlineStr">
        <is>
          <t>Hires over 3 years</t>
        </is>
      </c>
      <c r="C24" s="98" t="inlineStr">
        <is>
          <t>Per year</t>
        </is>
      </c>
    </row>
    <row r="25" ht="15" customHeight="1" s="70">
      <c r="A25" s="81" t="inlineStr">
        <is>
          <t>External platform — low band</t>
        </is>
      </c>
      <c r="B25" s="119">
        <f>IFERROR(D9/Assumptions!$B$34,"n/a")</f>
        <v/>
      </c>
      <c r="C25" s="120">
        <f>IFERROR(B25/3,"n/a")</f>
        <v/>
      </c>
    </row>
    <row r="26" ht="15" customHeight="1" s="70">
      <c r="A26" s="81" t="inlineStr">
        <is>
          <t>External platform — high band</t>
        </is>
      </c>
      <c r="B26" s="119">
        <f>IFERROR(E9/Assumptions!$B$34,"n/a")</f>
        <v/>
      </c>
      <c r="C26" s="120">
        <f>IFERROR(B26/3,"n/a")</f>
        <v/>
      </c>
    </row>
    <row r="27" ht="15" customHeight="1" s="70">
      <c r="A27" s="108" t="inlineStr">
        <is>
          <t>v2-lean</t>
        </is>
      </c>
      <c r="B27" s="121">
        <f>IFERROR(D14/Assumptions!$B$34,"n/a")</f>
        <v/>
      </c>
      <c r="C27" s="122">
        <f>IFERROR(B27/3,"n/a")</f>
        <v/>
      </c>
    </row>
    <row r="29" ht="51.75" customHeight="1" s="70">
      <c r="A29" s="118" t="inlineStr">
        <is>
          <t>What buying gets you that this model does not price: a maintained skills ontology, pre-built HRIS and SSO connectors, SOC 2 / ISO 27001, a contractual support SLA, cross-company benchmarking, and a product roadmap. In-house, each of those is yours to build and keep building. The comparison above is cost only.</t>
        </is>
      </c>
    </row>
  </sheetData>
  <mergeCells count="2">
    <mergeCell ref="A29:E29"/>
    <mergeCell ref="A23:E2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34" customWidth="1" style="69" min="1" max="1"/>
    <col width="12" customWidth="1" style="69" min="2" max="2"/>
    <col width="16" customWidth="1" style="69" min="3" max="3"/>
    <col width="15" customWidth="1" style="69" min="4" max="4"/>
    <col width="17" customWidth="1" style="69" min="5" max="7"/>
    <col width="40" customWidth="1" style="69" min="8" max="8"/>
  </cols>
  <sheetData>
    <row r="1" ht="21" customHeight="1" s="70">
      <c r="A1" s="71" t="inlineStr">
        <is>
          <t>Benefits</t>
        </is>
      </c>
    </row>
    <row r="2" ht="15" customHeight="1" s="70">
      <c r="A2" s="72" t="inlineStr">
        <is>
          <t>Two streams. They are not equally defensible — see the provenance column. Salaries are Payroll averages (Sep 2026); cost per hire is TA's 2025 file.</t>
        </is>
      </c>
    </row>
    <row r="4" ht="16.5" customHeight="1" s="70">
      <c r="A4" s="73" t="inlineStr">
        <is>
          <t>DERIVED RATES</t>
        </is>
      </c>
      <c r="B4" s="74" t="n"/>
      <c r="C4" s="74" t="n"/>
      <c r="D4" s="74" t="n"/>
      <c r="E4" s="74" t="n"/>
      <c r="F4" s="74" t="n"/>
      <c r="G4" s="74" t="n"/>
      <c r="H4" s="74" t="n"/>
    </row>
    <row r="5" ht="15" customHeight="1" s="70">
      <c r="A5" s="81" t="inlineStr">
        <is>
          <t>Replacement cost per person</t>
        </is>
      </c>
      <c r="B5" s="102">
        <f>Assumptions!$B$35*Assumptions!$B$36</f>
        <v/>
      </c>
      <c r="H5" s="83" t="inlineStr">
        <is>
          <t>Non-mass annual basic × replacement %</t>
        </is>
      </c>
    </row>
    <row r="6" ht="15" customHeight="1" s="70">
      <c r="A6" s="81" t="inlineStr">
        <is>
          <t>Cost of one vacant day</t>
        </is>
      </c>
      <c r="B6" s="123">
        <f>IFERROR(Assumptions!$B$42/Assumptions!$B$37,"n/a")</f>
        <v/>
      </c>
      <c r="H6" s="83" t="inlineStr">
        <is>
          <t>Blended Band B/C annual basic ÷ working days</t>
        </is>
      </c>
    </row>
    <row r="7" ht="15" customHeight="1" s="70">
      <c r="A7" s="81" t="inlineStr">
        <is>
          <t>Retention benefit per year</t>
        </is>
      </c>
      <c r="B7" s="106">
        <f>Assumptions!$B$39*Assumptions!$B$40*Benefits!$B$5</f>
        <v/>
      </c>
      <c r="H7" s="83" t="inlineStr">
        <is>
          <t>Participants × retention lift × replacement cost</t>
        </is>
      </c>
    </row>
    <row r="9" ht="16.5" customHeight="1" s="70">
      <c r="A9" s="73" t="inlineStr">
        <is>
          <t>BY SCENARIO — annual, at steady state</t>
        </is>
      </c>
      <c r="B9" s="74" t="n"/>
      <c r="C9" s="74" t="n"/>
      <c r="D9" s="74" t="n"/>
      <c r="E9" s="74" t="n"/>
      <c r="F9" s="74" t="n"/>
      <c r="G9" s="74" t="n"/>
      <c r="H9" s="74" t="n"/>
    </row>
    <row r="10" ht="15" customHeight="1" s="70">
      <c r="A10" s="97" t="inlineStr">
        <is>
          <t>Scenario</t>
        </is>
      </c>
      <c r="B10" s="98" t="inlineStr">
        <is>
          <t>Fills/yr</t>
        </is>
      </c>
      <c r="C10" s="98" t="inlineStr">
        <is>
          <t>Hiring cost avoided (₱)</t>
        </is>
      </c>
      <c r="D10" s="98" t="inlineStr">
        <is>
          <t>Vacancy days (₱)</t>
        </is>
      </c>
      <c r="E10" s="98" t="inlineStr">
        <is>
          <t>ATTRIBUTED (₱)</t>
        </is>
      </c>
      <c r="F10" s="98" t="inlineStr">
        <is>
          <t>OWNED (₱)</t>
        </is>
      </c>
      <c r="G10" s="98" t="inlineStr">
        <is>
          <t>TOTAL (₱)</t>
        </is>
      </c>
      <c r="H10" s="98" t="inlineStr">
        <is>
          <t>What it depends on</t>
        </is>
      </c>
    </row>
    <row r="11" ht="15" customHeight="1" s="70">
      <c r="A11" s="81" t="inlineStr">
        <is>
          <t>Conservative</t>
        </is>
      </c>
      <c r="B11" s="124">
        <f>Assumptions!$B$44</f>
        <v/>
      </c>
      <c r="C11" s="102">
        <f>B11*Assumptions!$B$34</f>
        <v/>
      </c>
      <c r="D11" s="102">
        <f>B11*Assumptions!$B$38*Benefits!$B$6</f>
        <v/>
      </c>
      <c r="E11" s="106">
        <f>C11+D11</f>
        <v/>
      </c>
      <c r="F11" s="106">
        <f>Benefits!$B$7</f>
        <v/>
      </c>
      <c r="G11" s="106">
        <f>E11+F11</f>
        <v/>
      </c>
      <c r="H11" s="83" t="inlineStr">
        <is>
          <t>Confirmed referrals in HC Connect</t>
        </is>
      </c>
    </row>
    <row r="12" ht="15" customHeight="1" s="70">
      <c r="A12" s="108" t="inlineStr">
        <is>
          <t>Base</t>
        </is>
      </c>
      <c r="B12" s="125">
        <f>Assumptions!$B$45</f>
        <v/>
      </c>
      <c r="C12" s="126">
        <f>B12*Assumptions!$B$34</f>
        <v/>
      </c>
      <c r="D12" s="126">
        <f>B12*Assumptions!$B$38*Benefits!$B$6</f>
        <v/>
      </c>
      <c r="E12" s="110">
        <f>C12+D12</f>
        <v/>
      </c>
      <c r="F12" s="110">
        <f>Benefits!$B$7</f>
        <v/>
      </c>
      <c r="G12" s="110">
        <f>E12+F12</f>
        <v/>
      </c>
      <c r="H12" s="127" t="inlineStr">
        <is>
          <t>Confirmed referrals in HC Connect</t>
        </is>
      </c>
    </row>
    <row r="13" ht="15" customHeight="1" s="70">
      <c r="A13" s="81" t="inlineStr">
        <is>
          <t>Optimistic</t>
        </is>
      </c>
      <c r="B13" s="124">
        <f>Assumptions!$B$46</f>
        <v/>
      </c>
      <c r="C13" s="102">
        <f>B13*Assumptions!$B$34</f>
        <v/>
      </c>
      <c r="D13" s="102">
        <f>B13*Assumptions!$B$38*Benefits!$B$6</f>
        <v/>
      </c>
      <c r="E13" s="106">
        <f>C13+D13</f>
        <v/>
      </c>
      <c r="F13" s="106">
        <f>Benefits!$B$7</f>
        <v/>
      </c>
      <c r="G13" s="106">
        <f>E13+F13</f>
        <v/>
      </c>
      <c r="H13" s="83" t="inlineStr">
        <is>
          <t>Confirmed referrals in HC Connect</t>
        </is>
      </c>
    </row>
    <row r="14" ht="15" customHeight="1" s="70">
      <c r="A14" s="128" t="inlineStr">
        <is>
          <t>Base — retention excluded</t>
        </is>
      </c>
      <c r="B14" s="124">
        <f>Assumptions!$B$45</f>
        <v/>
      </c>
      <c r="C14" s="102">
        <f>B14*Assumptions!$B$34</f>
        <v/>
      </c>
      <c r="D14" s="102">
        <f>B14*Assumptions!$B$38*Benefits!$B$6</f>
        <v/>
      </c>
      <c r="E14" s="106">
        <f>C14+D14</f>
        <v/>
      </c>
      <c r="F14" s="106" t="n">
        <v>0</v>
      </c>
      <c r="G14" s="106">
        <f>E14+F14</f>
        <v/>
      </c>
      <c r="H14" s="83" t="inlineStr">
        <is>
          <t>Stress case: the softest input set to zero</t>
        </is>
      </c>
    </row>
    <row r="15" ht="15" customHeight="1" s="70">
      <c r="A15" s="128" t="inlineStr">
        <is>
          <t>Retention only — zero fills</t>
        </is>
      </c>
      <c r="B15" s="129" t="n">
        <v>0</v>
      </c>
      <c r="C15" s="102">
        <f>B15*Assumptions!$B$34</f>
        <v/>
      </c>
      <c r="D15" s="102">
        <f>B15*Assumptions!$B$38*Benefits!$B$6</f>
        <v/>
      </c>
      <c r="E15" s="106">
        <f>C15+D15</f>
        <v/>
      </c>
      <c r="F15" s="106">
        <f>Benefits!$B$7</f>
        <v/>
      </c>
      <c r="G15" s="106">
        <f>E15+F15</f>
        <v/>
      </c>
      <c r="H15" s="83" t="inlineStr">
        <is>
          <t>Stress case: no attributed fills at all</t>
        </is>
      </c>
    </row>
    <row r="17" ht="16.5" customHeight="1" s="70">
      <c r="A17" s="73" t="inlineStr">
        <is>
          <t>HOW MUCH EACH STREAM IS WORTH AS EVIDENCE</t>
        </is>
      </c>
      <c r="B17" s="74" t="n"/>
      <c r="C17" s="74" t="n"/>
      <c r="D17" s="74" t="n"/>
      <c r="E17" s="74" t="n"/>
      <c r="F17" s="74" t="n"/>
      <c r="G17" s="74" t="n"/>
      <c r="H17" s="74" t="n"/>
    </row>
    <row r="18" ht="45.75" customHeight="1" s="70">
      <c r="A18" s="130" t="inlineStr">
        <is>
          <t>ATTRIBUTED</t>
        </is>
      </c>
      <c r="B18" s="84" t="inlineStr">
        <is>
          <t>Avoided hiring cost and vacancy days on permanent roles. Exists ONLY because of the referral tracking — without a confirmed referral the hire is invisible in our data and belongs, as far as anyone can tell, to HC Connect. Requires HC Connect to add a "Growth Marketplace" source value; that commitment does not yet exist. At P113,522 a fill this stream is now roughly a fifth of the base-case benefit, so the case no longer stands on it alone.</t>
        </is>
      </c>
    </row>
    <row r="19" ht="45.75" customHeight="1" s="70">
      <c r="A19" s="130" t="inlineStr">
        <is>
          <t>OWNED</t>
        </is>
      </c>
      <c r="B19" s="84" t="inlineStr">
        <is>
          <t>Retention among gig, DJI and service-offer participants. Needs no attribution, because the marketplace runs those end to end. It now carries most of the case, and the 3-point lift is still a discounted judgement rather than a measurement — which is why the year-one holdout is the gating instrument, not a nicety. See the stress rows above.</t>
        </is>
      </c>
    </row>
    <row r="20" ht="45.75" customHeight="1" s="70">
      <c r="A20" s="130" t="inlineStr">
        <is>
          <t>EXCLUDED</t>
        </is>
      </c>
      <c r="B20" s="84" t="inlineStr">
        <is>
          <t>The value of gig output itself, skills built, and cross-functional network effects. All real, none reliably measurable, none needed to make the case.</t>
        </is>
      </c>
    </row>
  </sheetData>
  <mergeCells count="3">
    <mergeCell ref="B19:H19"/>
    <mergeCell ref="B20:H20"/>
    <mergeCell ref="B18:H1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U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8" customWidth="1" style="69" min="1" max="1"/>
    <col width="7" customWidth="1" style="69" min="2" max="2"/>
    <col width="13" customWidth="1" style="69" min="3" max="3"/>
    <col width="12" customWidth="1" style="69" min="4" max="4"/>
    <col width="13" customWidth="1" style="69" min="5" max="5"/>
    <col width="15" customWidth="1" style="69" min="6" max="6"/>
    <col width="14" customWidth="1" style="69" min="7" max="11"/>
    <col width="15" customWidth="1" style="69" min="12" max="16"/>
    <col width="10" customWidth="1" style="69" min="17" max="21"/>
  </cols>
  <sheetData>
    <row r="1" ht="21" customHeight="1" s="70">
      <c r="A1" s="71" t="inlineStr">
        <is>
          <t>Payback — monthly cashflow</t>
        </is>
      </c>
    </row>
    <row r="2" ht="15" customHeight="1" s="70">
      <c r="A2" s="72" t="inlineStr">
        <is>
          <t>Build lands in months 1–3 of its year, at IT's costed figure; benefits start in month 4. Feeds the CBA sheet.</t>
        </is>
      </c>
    </row>
    <row r="4" ht="23.85" customHeight="1" s="70">
      <c r="A4" s="97" t="inlineStr">
        <is>
          <t>Month</t>
        </is>
      </c>
      <c r="B4" s="98" t="inlineStr">
        <is>
          <t>Year</t>
        </is>
      </c>
      <c r="C4" s="98" t="inlineStr">
        <is>
          <t>Build (₱)</t>
        </is>
      </c>
      <c r="D4" s="98" t="inlineStr">
        <is>
          <t>Run (₱)</t>
        </is>
      </c>
      <c r="E4" s="98" t="inlineStr">
        <is>
          <t>Cost (₱)</t>
        </is>
      </c>
      <c r="F4" s="98" t="inlineStr">
        <is>
          <t>Cum cost (₱)</t>
        </is>
      </c>
      <c r="G4" s="98" t="inlineStr">
        <is>
          <t>Conservative (₱)</t>
        </is>
      </c>
      <c r="H4" s="98" t="inlineStr">
        <is>
          <t>Base (₱)</t>
        </is>
      </c>
      <c r="I4" s="98" t="inlineStr">
        <is>
          <t>Optimistic (₱)</t>
        </is>
      </c>
      <c r="J4" s="98" t="inlineStr">
        <is>
          <t>Base no ret. (₱)</t>
        </is>
      </c>
      <c r="K4" s="98" t="inlineStr">
        <is>
          <t>Retention only (₱)</t>
        </is>
      </c>
      <c r="L4" s="98" t="inlineStr">
        <is>
          <t>Cum Conservative (₱)</t>
        </is>
      </c>
      <c r="M4" s="98" t="inlineStr">
        <is>
          <t>Cum Base (₱)</t>
        </is>
      </c>
      <c r="N4" s="98" t="inlineStr">
        <is>
          <t>Cum Optimistic (₱)</t>
        </is>
      </c>
      <c r="O4" s="98" t="inlineStr">
        <is>
          <t>Cum Base no ret. (₱)</t>
        </is>
      </c>
      <c r="P4" s="98" t="inlineStr">
        <is>
          <t>Cum Retention only (₱)</t>
        </is>
      </c>
      <c r="Q4" s="98" t="inlineStr">
        <is>
          <t>Hit Conservative</t>
        </is>
      </c>
      <c r="R4" s="98" t="inlineStr">
        <is>
          <t>Hit Base</t>
        </is>
      </c>
      <c r="S4" s="98" t="inlineStr">
        <is>
          <t>Hit Optimistic</t>
        </is>
      </c>
      <c r="T4" s="98" t="inlineStr">
        <is>
          <t>Hit Base no ret.</t>
        </is>
      </c>
      <c r="U4" s="98" t="inlineStr">
        <is>
          <t>Hit Retention only</t>
        </is>
      </c>
    </row>
    <row r="5" ht="15" customHeight="1" s="70">
      <c r="A5" s="129" t="n">
        <v>1</v>
      </c>
      <c r="B5" s="129">
        <f>ROUNDUP(A5/12,0)</f>
        <v/>
      </c>
      <c r="C5" s="102">
        <f>IF(A5&lt;=3,Costs!$G$7/3,IF(AND(A5&gt;=13,A5&lt;=15),Costs!$G$8/3,0))</f>
        <v/>
      </c>
      <c r="D5" s="102">
        <f>IF(B5=1,Costs!$B$28/12,Costs!$C$28/12)</f>
        <v/>
      </c>
      <c r="E5" s="102">
        <f>C5+D5</f>
        <v/>
      </c>
      <c r="F5" s="102">
        <f>E5</f>
        <v/>
      </c>
      <c r="G5" s="102">
        <f>IF(A5&lt;=3,0,IF(B5=1,Benefits!$G$11*Assumptions!$B$41/9,Benefits!$G$11/12))</f>
        <v/>
      </c>
      <c r="H5" s="102">
        <f>IF(A5&lt;=3,0,IF(B5=1,Benefits!$G$12*Assumptions!$B$41/9,Benefits!$G$12/12))</f>
        <v/>
      </c>
      <c r="I5" s="102">
        <f>IF(A5&lt;=3,0,IF(B5=1,Benefits!$G$13*Assumptions!$B$41/9,Benefits!$G$13/12))</f>
        <v/>
      </c>
      <c r="J5" s="102">
        <f>IF(A5&lt;=3,0,IF(B5=1,Benefits!$G$14*Assumptions!$B$41/9,Benefits!$G$14/12))</f>
        <v/>
      </c>
      <c r="K5" s="102">
        <f>IF(A5&lt;=3,0,IF(B5=1,Benefits!$G$15*Assumptions!$B$41/9,Benefits!$G$15/12))</f>
        <v/>
      </c>
      <c r="L5" s="102">
        <f>G5</f>
        <v/>
      </c>
      <c r="M5" s="102">
        <f>H5</f>
        <v/>
      </c>
      <c r="N5" s="102">
        <f>I5</f>
        <v/>
      </c>
      <c r="O5" s="102">
        <f>J5</f>
        <v/>
      </c>
      <c r="P5" s="102">
        <f>K5</f>
        <v/>
      </c>
      <c r="Q5" s="129">
        <f>IF(L5&gt;=F5,A5,"")</f>
        <v/>
      </c>
      <c r="R5" s="129">
        <f>IF(M5&gt;=F5,A5,"")</f>
        <v/>
      </c>
      <c r="S5" s="129">
        <f>IF(N5&gt;=F5,A5,"")</f>
        <v/>
      </c>
      <c r="T5" s="129">
        <f>IF(O5&gt;=F5,A5,"")</f>
        <v/>
      </c>
      <c r="U5" s="129">
        <f>IF(P5&gt;=F5,A5,"")</f>
        <v/>
      </c>
    </row>
    <row r="6" ht="15" customHeight="1" s="70">
      <c r="A6" s="129" t="n">
        <v>2</v>
      </c>
      <c r="B6" s="129">
        <f>ROUNDUP(A6/12,0)</f>
        <v/>
      </c>
      <c r="C6" s="102">
        <f>IF(A6&lt;=3,Costs!$G$7/3,IF(AND(A6&gt;=13,A6&lt;=15),Costs!$G$8/3,0))</f>
        <v/>
      </c>
      <c r="D6" s="102">
        <f>IF(B6=1,Costs!$B$28/12,Costs!$C$28/12)</f>
        <v/>
      </c>
      <c r="E6" s="102">
        <f>C6+D6</f>
        <v/>
      </c>
      <c r="F6" s="102">
        <f>F5+E6</f>
        <v/>
      </c>
      <c r="G6" s="102">
        <f>IF(A6&lt;=3,0,IF(B6=1,Benefits!$G$11*Assumptions!$B$41/9,Benefits!$G$11/12))</f>
        <v/>
      </c>
      <c r="H6" s="102">
        <f>IF(A6&lt;=3,0,IF(B6=1,Benefits!$G$12*Assumptions!$B$41/9,Benefits!$G$12/12))</f>
        <v/>
      </c>
      <c r="I6" s="102">
        <f>IF(A6&lt;=3,0,IF(B6=1,Benefits!$G$13*Assumptions!$B$41/9,Benefits!$G$13/12))</f>
        <v/>
      </c>
      <c r="J6" s="102">
        <f>IF(A6&lt;=3,0,IF(B6=1,Benefits!$G$14*Assumptions!$B$41/9,Benefits!$G$14/12))</f>
        <v/>
      </c>
      <c r="K6" s="102">
        <f>IF(A6&lt;=3,0,IF(B6=1,Benefits!$G$15*Assumptions!$B$41/9,Benefits!$G$15/12))</f>
        <v/>
      </c>
      <c r="L6" s="102">
        <f>L5+G6</f>
        <v/>
      </c>
      <c r="M6" s="102">
        <f>M5+H6</f>
        <v/>
      </c>
      <c r="N6" s="102">
        <f>N5+I6</f>
        <v/>
      </c>
      <c r="O6" s="102">
        <f>O5+J6</f>
        <v/>
      </c>
      <c r="P6" s="102">
        <f>P5+K6</f>
        <v/>
      </c>
      <c r="Q6" s="129">
        <f>IF(L6&gt;=F6,A6,"")</f>
        <v/>
      </c>
      <c r="R6" s="129">
        <f>IF(M6&gt;=F6,A6,"")</f>
        <v/>
      </c>
      <c r="S6" s="129">
        <f>IF(N6&gt;=F6,A6,"")</f>
        <v/>
      </c>
      <c r="T6" s="129">
        <f>IF(O6&gt;=F6,A6,"")</f>
        <v/>
      </c>
      <c r="U6" s="129">
        <f>IF(P6&gt;=F6,A6,"")</f>
        <v/>
      </c>
    </row>
    <row r="7" ht="15" customHeight="1" s="70">
      <c r="A7" s="129" t="n">
        <v>3</v>
      </c>
      <c r="B7" s="129">
        <f>ROUNDUP(A7/12,0)</f>
        <v/>
      </c>
      <c r="C7" s="102">
        <f>IF(A7&lt;=3,Costs!$G$7/3,IF(AND(A7&gt;=13,A7&lt;=15),Costs!$G$8/3,0))</f>
        <v/>
      </c>
      <c r="D7" s="102">
        <f>IF(B7=1,Costs!$B$28/12,Costs!$C$28/12)</f>
        <v/>
      </c>
      <c r="E7" s="102">
        <f>C7+D7</f>
        <v/>
      </c>
      <c r="F7" s="102">
        <f>F6+E7</f>
        <v/>
      </c>
      <c r="G7" s="102">
        <f>IF(A7&lt;=3,0,IF(B7=1,Benefits!$G$11*Assumptions!$B$41/9,Benefits!$G$11/12))</f>
        <v/>
      </c>
      <c r="H7" s="102">
        <f>IF(A7&lt;=3,0,IF(B7=1,Benefits!$G$12*Assumptions!$B$41/9,Benefits!$G$12/12))</f>
        <v/>
      </c>
      <c r="I7" s="102">
        <f>IF(A7&lt;=3,0,IF(B7=1,Benefits!$G$13*Assumptions!$B$41/9,Benefits!$G$13/12))</f>
        <v/>
      </c>
      <c r="J7" s="102">
        <f>IF(A7&lt;=3,0,IF(B7=1,Benefits!$G$14*Assumptions!$B$41/9,Benefits!$G$14/12))</f>
        <v/>
      </c>
      <c r="K7" s="102">
        <f>IF(A7&lt;=3,0,IF(B7=1,Benefits!$G$15*Assumptions!$B$41/9,Benefits!$G$15/12))</f>
        <v/>
      </c>
      <c r="L7" s="102">
        <f>L6+G7</f>
        <v/>
      </c>
      <c r="M7" s="102">
        <f>M6+H7</f>
        <v/>
      </c>
      <c r="N7" s="102">
        <f>N6+I7</f>
        <v/>
      </c>
      <c r="O7" s="102">
        <f>O6+J7</f>
        <v/>
      </c>
      <c r="P7" s="102">
        <f>P6+K7</f>
        <v/>
      </c>
      <c r="Q7" s="129">
        <f>IF(L7&gt;=F7,A7,"")</f>
        <v/>
      </c>
      <c r="R7" s="129">
        <f>IF(M7&gt;=F7,A7,"")</f>
        <v/>
      </c>
      <c r="S7" s="129">
        <f>IF(N7&gt;=F7,A7,"")</f>
        <v/>
      </c>
      <c r="T7" s="129">
        <f>IF(O7&gt;=F7,A7,"")</f>
        <v/>
      </c>
      <c r="U7" s="129">
        <f>IF(P7&gt;=F7,A7,"")</f>
        <v/>
      </c>
    </row>
    <row r="8" ht="15" customHeight="1" s="70">
      <c r="A8" s="129" t="n">
        <v>4</v>
      </c>
      <c r="B8" s="129">
        <f>ROUNDUP(A8/12,0)</f>
        <v/>
      </c>
      <c r="C8" s="102">
        <f>IF(A8&lt;=3,Costs!$G$7/3,IF(AND(A8&gt;=13,A8&lt;=15),Costs!$G$8/3,0))</f>
        <v/>
      </c>
      <c r="D8" s="102">
        <f>IF(B8=1,Costs!$B$28/12,Costs!$C$28/12)</f>
        <v/>
      </c>
      <c r="E8" s="102">
        <f>C8+D8</f>
        <v/>
      </c>
      <c r="F8" s="102">
        <f>F7+E8</f>
        <v/>
      </c>
      <c r="G8" s="102">
        <f>IF(A8&lt;=3,0,IF(B8=1,Benefits!$G$11*Assumptions!$B$41/9,Benefits!$G$11/12))</f>
        <v/>
      </c>
      <c r="H8" s="102">
        <f>IF(A8&lt;=3,0,IF(B8=1,Benefits!$G$12*Assumptions!$B$41/9,Benefits!$G$12/12))</f>
        <v/>
      </c>
      <c r="I8" s="102">
        <f>IF(A8&lt;=3,0,IF(B8=1,Benefits!$G$13*Assumptions!$B$41/9,Benefits!$G$13/12))</f>
        <v/>
      </c>
      <c r="J8" s="102">
        <f>IF(A8&lt;=3,0,IF(B8=1,Benefits!$G$14*Assumptions!$B$41/9,Benefits!$G$14/12))</f>
        <v/>
      </c>
      <c r="K8" s="102">
        <f>IF(A8&lt;=3,0,IF(B8=1,Benefits!$G$15*Assumptions!$B$41/9,Benefits!$G$15/12))</f>
        <v/>
      </c>
      <c r="L8" s="102">
        <f>L7+G8</f>
        <v/>
      </c>
      <c r="M8" s="102">
        <f>M7+H8</f>
        <v/>
      </c>
      <c r="N8" s="102">
        <f>N7+I8</f>
        <v/>
      </c>
      <c r="O8" s="102">
        <f>O7+J8</f>
        <v/>
      </c>
      <c r="P8" s="102">
        <f>P7+K8</f>
        <v/>
      </c>
      <c r="Q8" s="129">
        <f>IF(L8&gt;=F8,A8,"")</f>
        <v/>
      </c>
      <c r="R8" s="129">
        <f>IF(M8&gt;=F8,A8,"")</f>
        <v/>
      </c>
      <c r="S8" s="129">
        <f>IF(N8&gt;=F8,A8,"")</f>
        <v/>
      </c>
      <c r="T8" s="129">
        <f>IF(O8&gt;=F8,A8,"")</f>
        <v/>
      </c>
      <c r="U8" s="129">
        <f>IF(P8&gt;=F8,A8,"")</f>
        <v/>
      </c>
    </row>
    <row r="9" ht="15" customHeight="1" s="70">
      <c r="A9" s="129" t="n">
        <v>5</v>
      </c>
      <c r="B9" s="129">
        <f>ROUNDUP(A9/12,0)</f>
        <v/>
      </c>
      <c r="C9" s="102">
        <f>IF(A9&lt;=3,Costs!$G$7/3,IF(AND(A9&gt;=13,A9&lt;=15),Costs!$G$8/3,0))</f>
        <v/>
      </c>
      <c r="D9" s="102">
        <f>IF(B9=1,Costs!$B$28/12,Costs!$C$28/12)</f>
        <v/>
      </c>
      <c r="E9" s="102">
        <f>C9+D9</f>
        <v/>
      </c>
      <c r="F9" s="102">
        <f>F8+E9</f>
        <v/>
      </c>
      <c r="G9" s="102">
        <f>IF(A9&lt;=3,0,IF(B9=1,Benefits!$G$11*Assumptions!$B$41/9,Benefits!$G$11/12))</f>
        <v/>
      </c>
      <c r="H9" s="102">
        <f>IF(A9&lt;=3,0,IF(B9=1,Benefits!$G$12*Assumptions!$B$41/9,Benefits!$G$12/12))</f>
        <v/>
      </c>
      <c r="I9" s="102">
        <f>IF(A9&lt;=3,0,IF(B9=1,Benefits!$G$13*Assumptions!$B$41/9,Benefits!$G$13/12))</f>
        <v/>
      </c>
      <c r="J9" s="102">
        <f>IF(A9&lt;=3,0,IF(B9=1,Benefits!$G$14*Assumptions!$B$41/9,Benefits!$G$14/12))</f>
        <v/>
      </c>
      <c r="K9" s="102">
        <f>IF(A9&lt;=3,0,IF(B9=1,Benefits!$G$15*Assumptions!$B$41/9,Benefits!$G$15/12))</f>
        <v/>
      </c>
      <c r="L9" s="102">
        <f>L8+G9</f>
        <v/>
      </c>
      <c r="M9" s="102">
        <f>M8+H9</f>
        <v/>
      </c>
      <c r="N9" s="102">
        <f>N8+I9</f>
        <v/>
      </c>
      <c r="O9" s="102">
        <f>O8+J9</f>
        <v/>
      </c>
      <c r="P9" s="102">
        <f>P8+K9</f>
        <v/>
      </c>
      <c r="Q9" s="129">
        <f>IF(L9&gt;=F9,A9,"")</f>
        <v/>
      </c>
      <c r="R9" s="129">
        <f>IF(M9&gt;=F9,A9,"")</f>
        <v/>
      </c>
      <c r="S9" s="129">
        <f>IF(N9&gt;=F9,A9,"")</f>
        <v/>
      </c>
      <c r="T9" s="129">
        <f>IF(O9&gt;=F9,A9,"")</f>
        <v/>
      </c>
      <c r="U9" s="129">
        <f>IF(P9&gt;=F9,A9,"")</f>
        <v/>
      </c>
    </row>
    <row r="10" ht="15" customHeight="1" s="70">
      <c r="A10" s="129" t="n">
        <v>6</v>
      </c>
      <c r="B10" s="129">
        <f>ROUNDUP(A10/12,0)</f>
        <v/>
      </c>
      <c r="C10" s="102">
        <f>IF(A10&lt;=3,Costs!$G$7/3,IF(AND(A10&gt;=13,A10&lt;=15),Costs!$G$8/3,0))</f>
        <v/>
      </c>
      <c r="D10" s="102">
        <f>IF(B10=1,Costs!$B$28/12,Costs!$C$28/12)</f>
        <v/>
      </c>
      <c r="E10" s="102">
        <f>C10+D10</f>
        <v/>
      </c>
      <c r="F10" s="102">
        <f>F9+E10</f>
        <v/>
      </c>
      <c r="G10" s="102">
        <f>IF(A10&lt;=3,0,IF(B10=1,Benefits!$G$11*Assumptions!$B$41/9,Benefits!$G$11/12))</f>
        <v/>
      </c>
      <c r="H10" s="102">
        <f>IF(A10&lt;=3,0,IF(B10=1,Benefits!$G$12*Assumptions!$B$41/9,Benefits!$G$12/12))</f>
        <v/>
      </c>
      <c r="I10" s="102">
        <f>IF(A10&lt;=3,0,IF(B10=1,Benefits!$G$13*Assumptions!$B$41/9,Benefits!$G$13/12))</f>
        <v/>
      </c>
      <c r="J10" s="102">
        <f>IF(A10&lt;=3,0,IF(B10=1,Benefits!$G$14*Assumptions!$B$41/9,Benefits!$G$14/12))</f>
        <v/>
      </c>
      <c r="K10" s="102">
        <f>IF(A10&lt;=3,0,IF(B10=1,Benefits!$G$15*Assumptions!$B$41/9,Benefits!$G$15/12))</f>
        <v/>
      </c>
      <c r="L10" s="102">
        <f>L9+G10</f>
        <v/>
      </c>
      <c r="M10" s="102">
        <f>M9+H10</f>
        <v/>
      </c>
      <c r="N10" s="102">
        <f>N9+I10</f>
        <v/>
      </c>
      <c r="O10" s="102">
        <f>O9+J10</f>
        <v/>
      </c>
      <c r="P10" s="102">
        <f>P9+K10</f>
        <v/>
      </c>
      <c r="Q10" s="129">
        <f>IF(L10&gt;=F10,A10,"")</f>
        <v/>
      </c>
      <c r="R10" s="129">
        <f>IF(M10&gt;=F10,A10,"")</f>
        <v/>
      </c>
      <c r="S10" s="129">
        <f>IF(N10&gt;=F10,A10,"")</f>
        <v/>
      </c>
      <c r="T10" s="129">
        <f>IF(O10&gt;=F10,A10,"")</f>
        <v/>
      </c>
      <c r="U10" s="129">
        <f>IF(P10&gt;=F10,A10,"")</f>
        <v/>
      </c>
    </row>
    <row r="11" ht="15" customHeight="1" s="70">
      <c r="A11" s="129" t="n">
        <v>7</v>
      </c>
      <c r="B11" s="129">
        <f>ROUNDUP(A11/12,0)</f>
        <v/>
      </c>
      <c r="C11" s="102">
        <f>IF(A11&lt;=3,Costs!$G$7/3,IF(AND(A11&gt;=13,A11&lt;=15),Costs!$G$8/3,0))</f>
        <v/>
      </c>
      <c r="D11" s="102">
        <f>IF(B11=1,Costs!$B$28/12,Costs!$C$28/12)</f>
        <v/>
      </c>
      <c r="E11" s="102">
        <f>C11+D11</f>
        <v/>
      </c>
      <c r="F11" s="102">
        <f>F10+E11</f>
        <v/>
      </c>
      <c r="G11" s="102">
        <f>IF(A11&lt;=3,0,IF(B11=1,Benefits!$G$11*Assumptions!$B$41/9,Benefits!$G$11/12))</f>
        <v/>
      </c>
      <c r="H11" s="102">
        <f>IF(A11&lt;=3,0,IF(B11=1,Benefits!$G$12*Assumptions!$B$41/9,Benefits!$G$12/12))</f>
        <v/>
      </c>
      <c r="I11" s="102">
        <f>IF(A11&lt;=3,0,IF(B11=1,Benefits!$G$13*Assumptions!$B$41/9,Benefits!$G$13/12))</f>
        <v/>
      </c>
      <c r="J11" s="102">
        <f>IF(A11&lt;=3,0,IF(B11=1,Benefits!$G$14*Assumptions!$B$41/9,Benefits!$G$14/12))</f>
        <v/>
      </c>
      <c r="K11" s="102">
        <f>IF(A11&lt;=3,0,IF(B11=1,Benefits!$G$15*Assumptions!$B$41/9,Benefits!$G$15/12))</f>
        <v/>
      </c>
      <c r="L11" s="102">
        <f>L10+G11</f>
        <v/>
      </c>
      <c r="M11" s="102">
        <f>M10+H11</f>
        <v/>
      </c>
      <c r="N11" s="102">
        <f>N10+I11</f>
        <v/>
      </c>
      <c r="O11" s="102">
        <f>O10+J11</f>
        <v/>
      </c>
      <c r="P11" s="102">
        <f>P10+K11</f>
        <v/>
      </c>
      <c r="Q11" s="129">
        <f>IF(L11&gt;=F11,A11,"")</f>
        <v/>
      </c>
      <c r="R11" s="129">
        <f>IF(M11&gt;=F11,A11,"")</f>
        <v/>
      </c>
      <c r="S11" s="129">
        <f>IF(N11&gt;=F11,A11,"")</f>
        <v/>
      </c>
      <c r="T11" s="129">
        <f>IF(O11&gt;=F11,A11,"")</f>
        <v/>
      </c>
      <c r="U11" s="129">
        <f>IF(P11&gt;=F11,A11,"")</f>
        <v/>
      </c>
    </row>
    <row r="12" ht="15" customHeight="1" s="70">
      <c r="A12" s="129" t="n">
        <v>8</v>
      </c>
      <c r="B12" s="129">
        <f>ROUNDUP(A12/12,0)</f>
        <v/>
      </c>
      <c r="C12" s="102">
        <f>IF(A12&lt;=3,Costs!$G$7/3,IF(AND(A12&gt;=13,A12&lt;=15),Costs!$G$8/3,0))</f>
        <v/>
      </c>
      <c r="D12" s="102">
        <f>IF(B12=1,Costs!$B$28/12,Costs!$C$28/12)</f>
        <v/>
      </c>
      <c r="E12" s="102">
        <f>C12+D12</f>
        <v/>
      </c>
      <c r="F12" s="102">
        <f>F11+E12</f>
        <v/>
      </c>
      <c r="G12" s="102">
        <f>IF(A12&lt;=3,0,IF(B12=1,Benefits!$G$11*Assumptions!$B$41/9,Benefits!$G$11/12))</f>
        <v/>
      </c>
      <c r="H12" s="102">
        <f>IF(A12&lt;=3,0,IF(B12=1,Benefits!$G$12*Assumptions!$B$41/9,Benefits!$G$12/12))</f>
        <v/>
      </c>
      <c r="I12" s="102">
        <f>IF(A12&lt;=3,0,IF(B12=1,Benefits!$G$13*Assumptions!$B$41/9,Benefits!$G$13/12))</f>
        <v/>
      </c>
      <c r="J12" s="102">
        <f>IF(A12&lt;=3,0,IF(B12=1,Benefits!$G$14*Assumptions!$B$41/9,Benefits!$G$14/12))</f>
        <v/>
      </c>
      <c r="K12" s="102">
        <f>IF(A12&lt;=3,0,IF(B12=1,Benefits!$G$15*Assumptions!$B$41/9,Benefits!$G$15/12))</f>
        <v/>
      </c>
      <c r="L12" s="102">
        <f>L11+G12</f>
        <v/>
      </c>
      <c r="M12" s="102">
        <f>M11+H12</f>
        <v/>
      </c>
      <c r="N12" s="102">
        <f>N11+I12</f>
        <v/>
      </c>
      <c r="O12" s="102">
        <f>O11+J12</f>
        <v/>
      </c>
      <c r="P12" s="102">
        <f>P11+K12</f>
        <v/>
      </c>
      <c r="Q12" s="129">
        <f>IF(L12&gt;=F12,A12,"")</f>
        <v/>
      </c>
      <c r="R12" s="129">
        <f>IF(M12&gt;=F12,A12,"")</f>
        <v/>
      </c>
      <c r="S12" s="129">
        <f>IF(N12&gt;=F12,A12,"")</f>
        <v/>
      </c>
      <c r="T12" s="129">
        <f>IF(O12&gt;=F12,A12,"")</f>
        <v/>
      </c>
      <c r="U12" s="129">
        <f>IF(P12&gt;=F12,A12,"")</f>
        <v/>
      </c>
    </row>
    <row r="13" ht="15" customHeight="1" s="70">
      <c r="A13" s="129" t="n">
        <v>9</v>
      </c>
      <c r="B13" s="129">
        <f>ROUNDUP(A13/12,0)</f>
        <v/>
      </c>
      <c r="C13" s="102">
        <f>IF(A13&lt;=3,Costs!$G$7/3,IF(AND(A13&gt;=13,A13&lt;=15),Costs!$G$8/3,0))</f>
        <v/>
      </c>
      <c r="D13" s="102">
        <f>IF(B13=1,Costs!$B$28/12,Costs!$C$28/12)</f>
        <v/>
      </c>
      <c r="E13" s="102">
        <f>C13+D13</f>
        <v/>
      </c>
      <c r="F13" s="102">
        <f>F12+E13</f>
        <v/>
      </c>
      <c r="G13" s="102">
        <f>IF(A13&lt;=3,0,IF(B13=1,Benefits!$G$11*Assumptions!$B$41/9,Benefits!$G$11/12))</f>
        <v/>
      </c>
      <c r="H13" s="102">
        <f>IF(A13&lt;=3,0,IF(B13=1,Benefits!$G$12*Assumptions!$B$41/9,Benefits!$G$12/12))</f>
        <v/>
      </c>
      <c r="I13" s="102">
        <f>IF(A13&lt;=3,0,IF(B13=1,Benefits!$G$13*Assumptions!$B$41/9,Benefits!$G$13/12))</f>
        <v/>
      </c>
      <c r="J13" s="102">
        <f>IF(A13&lt;=3,0,IF(B13=1,Benefits!$G$14*Assumptions!$B$41/9,Benefits!$G$14/12))</f>
        <v/>
      </c>
      <c r="K13" s="102">
        <f>IF(A13&lt;=3,0,IF(B13=1,Benefits!$G$15*Assumptions!$B$41/9,Benefits!$G$15/12))</f>
        <v/>
      </c>
      <c r="L13" s="102">
        <f>L12+G13</f>
        <v/>
      </c>
      <c r="M13" s="102">
        <f>M12+H13</f>
        <v/>
      </c>
      <c r="N13" s="102">
        <f>N12+I13</f>
        <v/>
      </c>
      <c r="O13" s="102">
        <f>O12+J13</f>
        <v/>
      </c>
      <c r="P13" s="102">
        <f>P12+K13</f>
        <v/>
      </c>
      <c r="Q13" s="129">
        <f>IF(L13&gt;=F13,A13,"")</f>
        <v/>
      </c>
      <c r="R13" s="129">
        <f>IF(M13&gt;=F13,A13,"")</f>
        <v/>
      </c>
      <c r="S13" s="129">
        <f>IF(N13&gt;=F13,A13,"")</f>
        <v/>
      </c>
      <c r="T13" s="129">
        <f>IF(O13&gt;=F13,A13,"")</f>
        <v/>
      </c>
      <c r="U13" s="129">
        <f>IF(P13&gt;=F13,A13,"")</f>
        <v/>
      </c>
    </row>
    <row r="14" ht="15" customHeight="1" s="70">
      <c r="A14" s="129" t="n">
        <v>10</v>
      </c>
      <c r="B14" s="129">
        <f>ROUNDUP(A14/12,0)</f>
        <v/>
      </c>
      <c r="C14" s="102">
        <f>IF(A14&lt;=3,Costs!$G$7/3,IF(AND(A14&gt;=13,A14&lt;=15),Costs!$G$8/3,0))</f>
        <v/>
      </c>
      <c r="D14" s="102">
        <f>IF(B14=1,Costs!$B$28/12,Costs!$C$28/12)</f>
        <v/>
      </c>
      <c r="E14" s="102">
        <f>C14+D14</f>
        <v/>
      </c>
      <c r="F14" s="102">
        <f>F13+E14</f>
        <v/>
      </c>
      <c r="G14" s="102">
        <f>IF(A14&lt;=3,0,IF(B14=1,Benefits!$G$11*Assumptions!$B$41/9,Benefits!$G$11/12))</f>
        <v/>
      </c>
      <c r="H14" s="102">
        <f>IF(A14&lt;=3,0,IF(B14=1,Benefits!$G$12*Assumptions!$B$41/9,Benefits!$G$12/12))</f>
        <v/>
      </c>
      <c r="I14" s="102">
        <f>IF(A14&lt;=3,0,IF(B14=1,Benefits!$G$13*Assumptions!$B$41/9,Benefits!$G$13/12))</f>
        <v/>
      </c>
      <c r="J14" s="102">
        <f>IF(A14&lt;=3,0,IF(B14=1,Benefits!$G$14*Assumptions!$B$41/9,Benefits!$G$14/12))</f>
        <v/>
      </c>
      <c r="K14" s="102">
        <f>IF(A14&lt;=3,0,IF(B14=1,Benefits!$G$15*Assumptions!$B$41/9,Benefits!$G$15/12))</f>
        <v/>
      </c>
      <c r="L14" s="102">
        <f>L13+G14</f>
        <v/>
      </c>
      <c r="M14" s="102">
        <f>M13+H14</f>
        <v/>
      </c>
      <c r="N14" s="102">
        <f>N13+I14</f>
        <v/>
      </c>
      <c r="O14" s="102">
        <f>O13+J14</f>
        <v/>
      </c>
      <c r="P14" s="102">
        <f>P13+K14</f>
        <v/>
      </c>
      <c r="Q14" s="129">
        <f>IF(L14&gt;=F14,A14,"")</f>
        <v/>
      </c>
      <c r="R14" s="129">
        <f>IF(M14&gt;=F14,A14,"")</f>
        <v/>
      </c>
      <c r="S14" s="129">
        <f>IF(N14&gt;=F14,A14,"")</f>
        <v/>
      </c>
      <c r="T14" s="129">
        <f>IF(O14&gt;=F14,A14,"")</f>
        <v/>
      </c>
      <c r="U14" s="129">
        <f>IF(P14&gt;=F14,A14,"")</f>
        <v/>
      </c>
    </row>
    <row r="15" ht="15" customHeight="1" s="70">
      <c r="A15" s="129" t="n">
        <v>11</v>
      </c>
      <c r="B15" s="129">
        <f>ROUNDUP(A15/12,0)</f>
        <v/>
      </c>
      <c r="C15" s="102">
        <f>IF(A15&lt;=3,Costs!$G$7/3,IF(AND(A15&gt;=13,A15&lt;=15),Costs!$G$8/3,0))</f>
        <v/>
      </c>
      <c r="D15" s="102">
        <f>IF(B15=1,Costs!$B$28/12,Costs!$C$28/12)</f>
        <v/>
      </c>
      <c r="E15" s="102">
        <f>C15+D15</f>
        <v/>
      </c>
      <c r="F15" s="102">
        <f>F14+E15</f>
        <v/>
      </c>
      <c r="G15" s="102">
        <f>IF(A15&lt;=3,0,IF(B15=1,Benefits!$G$11*Assumptions!$B$41/9,Benefits!$G$11/12))</f>
        <v/>
      </c>
      <c r="H15" s="102">
        <f>IF(A15&lt;=3,0,IF(B15=1,Benefits!$G$12*Assumptions!$B$41/9,Benefits!$G$12/12))</f>
        <v/>
      </c>
      <c r="I15" s="102">
        <f>IF(A15&lt;=3,0,IF(B15=1,Benefits!$G$13*Assumptions!$B$41/9,Benefits!$G$13/12))</f>
        <v/>
      </c>
      <c r="J15" s="102">
        <f>IF(A15&lt;=3,0,IF(B15=1,Benefits!$G$14*Assumptions!$B$41/9,Benefits!$G$14/12))</f>
        <v/>
      </c>
      <c r="K15" s="102">
        <f>IF(A15&lt;=3,0,IF(B15=1,Benefits!$G$15*Assumptions!$B$41/9,Benefits!$G$15/12))</f>
        <v/>
      </c>
      <c r="L15" s="102">
        <f>L14+G15</f>
        <v/>
      </c>
      <c r="M15" s="102">
        <f>M14+H15</f>
        <v/>
      </c>
      <c r="N15" s="102">
        <f>N14+I15</f>
        <v/>
      </c>
      <c r="O15" s="102">
        <f>O14+J15</f>
        <v/>
      </c>
      <c r="P15" s="102">
        <f>P14+K15</f>
        <v/>
      </c>
      <c r="Q15" s="129">
        <f>IF(L15&gt;=F15,A15,"")</f>
        <v/>
      </c>
      <c r="R15" s="129">
        <f>IF(M15&gt;=F15,A15,"")</f>
        <v/>
      </c>
      <c r="S15" s="129">
        <f>IF(N15&gt;=F15,A15,"")</f>
        <v/>
      </c>
      <c r="T15" s="129">
        <f>IF(O15&gt;=F15,A15,"")</f>
        <v/>
      </c>
      <c r="U15" s="129">
        <f>IF(P15&gt;=F15,A15,"")</f>
        <v/>
      </c>
    </row>
    <row r="16" ht="15" customHeight="1" s="70">
      <c r="A16" s="129" t="n">
        <v>12</v>
      </c>
      <c r="B16" s="129">
        <f>ROUNDUP(A16/12,0)</f>
        <v/>
      </c>
      <c r="C16" s="102">
        <f>IF(A16&lt;=3,Costs!$G$7/3,IF(AND(A16&gt;=13,A16&lt;=15),Costs!$G$8/3,0))</f>
        <v/>
      </c>
      <c r="D16" s="102">
        <f>IF(B16=1,Costs!$B$28/12,Costs!$C$28/12)</f>
        <v/>
      </c>
      <c r="E16" s="102">
        <f>C16+D16</f>
        <v/>
      </c>
      <c r="F16" s="102">
        <f>F15+E16</f>
        <v/>
      </c>
      <c r="G16" s="102">
        <f>IF(A16&lt;=3,0,IF(B16=1,Benefits!$G$11*Assumptions!$B$41/9,Benefits!$G$11/12))</f>
        <v/>
      </c>
      <c r="H16" s="102">
        <f>IF(A16&lt;=3,0,IF(B16=1,Benefits!$G$12*Assumptions!$B$41/9,Benefits!$G$12/12))</f>
        <v/>
      </c>
      <c r="I16" s="102">
        <f>IF(A16&lt;=3,0,IF(B16=1,Benefits!$G$13*Assumptions!$B$41/9,Benefits!$G$13/12))</f>
        <v/>
      </c>
      <c r="J16" s="102">
        <f>IF(A16&lt;=3,0,IF(B16=1,Benefits!$G$14*Assumptions!$B$41/9,Benefits!$G$14/12))</f>
        <v/>
      </c>
      <c r="K16" s="102">
        <f>IF(A16&lt;=3,0,IF(B16=1,Benefits!$G$15*Assumptions!$B$41/9,Benefits!$G$15/12))</f>
        <v/>
      </c>
      <c r="L16" s="102">
        <f>L15+G16</f>
        <v/>
      </c>
      <c r="M16" s="102">
        <f>M15+H16</f>
        <v/>
      </c>
      <c r="N16" s="102">
        <f>N15+I16</f>
        <v/>
      </c>
      <c r="O16" s="102">
        <f>O15+J16</f>
        <v/>
      </c>
      <c r="P16" s="102">
        <f>P15+K16</f>
        <v/>
      </c>
      <c r="Q16" s="129">
        <f>IF(L16&gt;=F16,A16,"")</f>
        <v/>
      </c>
      <c r="R16" s="129">
        <f>IF(M16&gt;=F16,A16,"")</f>
        <v/>
      </c>
      <c r="S16" s="129">
        <f>IF(N16&gt;=F16,A16,"")</f>
        <v/>
      </c>
      <c r="T16" s="129">
        <f>IF(O16&gt;=F16,A16,"")</f>
        <v/>
      </c>
      <c r="U16" s="129">
        <f>IF(P16&gt;=F16,A16,"")</f>
        <v/>
      </c>
    </row>
    <row r="17" ht="15" customHeight="1" s="70">
      <c r="A17" s="129" t="n">
        <v>13</v>
      </c>
      <c r="B17" s="129">
        <f>ROUNDUP(A17/12,0)</f>
        <v/>
      </c>
      <c r="C17" s="102">
        <f>IF(A17&lt;=3,Costs!$G$7/3,IF(AND(A17&gt;=13,A17&lt;=15),Costs!$G$8/3,0))</f>
        <v/>
      </c>
      <c r="D17" s="102">
        <f>IF(B17=1,Costs!$B$28/12,Costs!$C$28/12)</f>
        <v/>
      </c>
      <c r="E17" s="102">
        <f>C17+D17</f>
        <v/>
      </c>
      <c r="F17" s="102">
        <f>F16+E17</f>
        <v/>
      </c>
      <c r="G17" s="102">
        <f>IF(A17&lt;=3,0,IF(B17=1,Benefits!$G$11*Assumptions!$B$41/9,Benefits!$G$11/12))</f>
        <v/>
      </c>
      <c r="H17" s="102">
        <f>IF(A17&lt;=3,0,IF(B17=1,Benefits!$G$12*Assumptions!$B$41/9,Benefits!$G$12/12))</f>
        <v/>
      </c>
      <c r="I17" s="102">
        <f>IF(A17&lt;=3,0,IF(B17=1,Benefits!$G$13*Assumptions!$B$41/9,Benefits!$G$13/12))</f>
        <v/>
      </c>
      <c r="J17" s="102">
        <f>IF(A17&lt;=3,0,IF(B17=1,Benefits!$G$14*Assumptions!$B$41/9,Benefits!$G$14/12))</f>
        <v/>
      </c>
      <c r="K17" s="102">
        <f>IF(A17&lt;=3,0,IF(B17=1,Benefits!$G$15*Assumptions!$B$41/9,Benefits!$G$15/12))</f>
        <v/>
      </c>
      <c r="L17" s="102">
        <f>L16+G17</f>
        <v/>
      </c>
      <c r="M17" s="102">
        <f>M16+H17</f>
        <v/>
      </c>
      <c r="N17" s="102">
        <f>N16+I17</f>
        <v/>
      </c>
      <c r="O17" s="102">
        <f>O16+J17</f>
        <v/>
      </c>
      <c r="P17" s="102">
        <f>P16+K17</f>
        <v/>
      </c>
      <c r="Q17" s="129">
        <f>IF(L17&gt;=F17,A17,"")</f>
        <v/>
      </c>
      <c r="R17" s="129">
        <f>IF(M17&gt;=F17,A17,"")</f>
        <v/>
      </c>
      <c r="S17" s="129">
        <f>IF(N17&gt;=F17,A17,"")</f>
        <v/>
      </c>
      <c r="T17" s="129">
        <f>IF(O17&gt;=F17,A17,"")</f>
        <v/>
      </c>
      <c r="U17" s="129">
        <f>IF(P17&gt;=F17,A17,"")</f>
        <v/>
      </c>
    </row>
    <row r="18" ht="15" customHeight="1" s="70">
      <c r="A18" s="129" t="n">
        <v>14</v>
      </c>
      <c r="B18" s="129">
        <f>ROUNDUP(A18/12,0)</f>
        <v/>
      </c>
      <c r="C18" s="102">
        <f>IF(A18&lt;=3,Costs!$G$7/3,IF(AND(A18&gt;=13,A18&lt;=15),Costs!$G$8/3,0))</f>
        <v/>
      </c>
      <c r="D18" s="102">
        <f>IF(B18=1,Costs!$B$28/12,Costs!$C$28/12)</f>
        <v/>
      </c>
      <c r="E18" s="102">
        <f>C18+D18</f>
        <v/>
      </c>
      <c r="F18" s="102">
        <f>F17+E18</f>
        <v/>
      </c>
      <c r="G18" s="102">
        <f>IF(A18&lt;=3,0,IF(B18=1,Benefits!$G$11*Assumptions!$B$41/9,Benefits!$G$11/12))</f>
        <v/>
      </c>
      <c r="H18" s="102">
        <f>IF(A18&lt;=3,0,IF(B18=1,Benefits!$G$12*Assumptions!$B$41/9,Benefits!$G$12/12))</f>
        <v/>
      </c>
      <c r="I18" s="102">
        <f>IF(A18&lt;=3,0,IF(B18=1,Benefits!$G$13*Assumptions!$B$41/9,Benefits!$G$13/12))</f>
        <v/>
      </c>
      <c r="J18" s="102">
        <f>IF(A18&lt;=3,0,IF(B18=1,Benefits!$G$14*Assumptions!$B$41/9,Benefits!$G$14/12))</f>
        <v/>
      </c>
      <c r="K18" s="102">
        <f>IF(A18&lt;=3,0,IF(B18=1,Benefits!$G$15*Assumptions!$B$41/9,Benefits!$G$15/12))</f>
        <v/>
      </c>
      <c r="L18" s="102">
        <f>L17+G18</f>
        <v/>
      </c>
      <c r="M18" s="102">
        <f>M17+H18</f>
        <v/>
      </c>
      <c r="N18" s="102">
        <f>N17+I18</f>
        <v/>
      </c>
      <c r="O18" s="102">
        <f>O17+J18</f>
        <v/>
      </c>
      <c r="P18" s="102">
        <f>P17+K18</f>
        <v/>
      </c>
      <c r="Q18" s="129">
        <f>IF(L18&gt;=F18,A18,"")</f>
        <v/>
      </c>
      <c r="R18" s="129">
        <f>IF(M18&gt;=F18,A18,"")</f>
        <v/>
      </c>
      <c r="S18" s="129">
        <f>IF(N18&gt;=F18,A18,"")</f>
        <v/>
      </c>
      <c r="T18" s="129">
        <f>IF(O18&gt;=F18,A18,"")</f>
        <v/>
      </c>
      <c r="U18" s="129">
        <f>IF(P18&gt;=F18,A18,"")</f>
        <v/>
      </c>
    </row>
    <row r="19" ht="15" customHeight="1" s="70">
      <c r="A19" s="129" t="n">
        <v>15</v>
      </c>
      <c r="B19" s="129">
        <f>ROUNDUP(A19/12,0)</f>
        <v/>
      </c>
      <c r="C19" s="102">
        <f>IF(A19&lt;=3,Costs!$G$7/3,IF(AND(A19&gt;=13,A19&lt;=15),Costs!$G$8/3,0))</f>
        <v/>
      </c>
      <c r="D19" s="102">
        <f>IF(B19=1,Costs!$B$28/12,Costs!$C$28/12)</f>
        <v/>
      </c>
      <c r="E19" s="102">
        <f>C19+D19</f>
        <v/>
      </c>
      <c r="F19" s="102">
        <f>F18+E19</f>
        <v/>
      </c>
      <c r="G19" s="102">
        <f>IF(A19&lt;=3,0,IF(B19=1,Benefits!$G$11*Assumptions!$B$41/9,Benefits!$G$11/12))</f>
        <v/>
      </c>
      <c r="H19" s="102">
        <f>IF(A19&lt;=3,0,IF(B19=1,Benefits!$G$12*Assumptions!$B$41/9,Benefits!$G$12/12))</f>
        <v/>
      </c>
      <c r="I19" s="102">
        <f>IF(A19&lt;=3,0,IF(B19=1,Benefits!$G$13*Assumptions!$B$41/9,Benefits!$G$13/12))</f>
        <v/>
      </c>
      <c r="J19" s="102">
        <f>IF(A19&lt;=3,0,IF(B19=1,Benefits!$G$14*Assumptions!$B$41/9,Benefits!$G$14/12))</f>
        <v/>
      </c>
      <c r="K19" s="102">
        <f>IF(A19&lt;=3,0,IF(B19=1,Benefits!$G$15*Assumptions!$B$41/9,Benefits!$G$15/12))</f>
        <v/>
      </c>
      <c r="L19" s="102">
        <f>L18+G19</f>
        <v/>
      </c>
      <c r="M19" s="102">
        <f>M18+H19</f>
        <v/>
      </c>
      <c r="N19" s="102">
        <f>N18+I19</f>
        <v/>
      </c>
      <c r="O19" s="102">
        <f>O18+J19</f>
        <v/>
      </c>
      <c r="P19" s="102">
        <f>P18+K19</f>
        <v/>
      </c>
      <c r="Q19" s="129">
        <f>IF(L19&gt;=F19,A19,"")</f>
        <v/>
      </c>
      <c r="R19" s="129">
        <f>IF(M19&gt;=F19,A19,"")</f>
        <v/>
      </c>
      <c r="S19" s="129">
        <f>IF(N19&gt;=F19,A19,"")</f>
        <v/>
      </c>
      <c r="T19" s="129">
        <f>IF(O19&gt;=F19,A19,"")</f>
        <v/>
      </c>
      <c r="U19" s="129">
        <f>IF(P19&gt;=F19,A19,"")</f>
        <v/>
      </c>
    </row>
    <row r="20" ht="15" customHeight="1" s="70">
      <c r="A20" s="129" t="n">
        <v>16</v>
      </c>
      <c r="B20" s="129">
        <f>ROUNDUP(A20/12,0)</f>
        <v/>
      </c>
      <c r="C20" s="102">
        <f>IF(A20&lt;=3,Costs!$G$7/3,IF(AND(A20&gt;=13,A20&lt;=15),Costs!$G$8/3,0))</f>
        <v/>
      </c>
      <c r="D20" s="102">
        <f>IF(B20=1,Costs!$B$28/12,Costs!$C$28/12)</f>
        <v/>
      </c>
      <c r="E20" s="102">
        <f>C20+D20</f>
        <v/>
      </c>
      <c r="F20" s="102">
        <f>F19+E20</f>
        <v/>
      </c>
      <c r="G20" s="102">
        <f>IF(A20&lt;=3,0,IF(B20=1,Benefits!$G$11*Assumptions!$B$41/9,Benefits!$G$11/12))</f>
        <v/>
      </c>
      <c r="H20" s="102">
        <f>IF(A20&lt;=3,0,IF(B20=1,Benefits!$G$12*Assumptions!$B$41/9,Benefits!$G$12/12))</f>
        <v/>
      </c>
      <c r="I20" s="102">
        <f>IF(A20&lt;=3,0,IF(B20=1,Benefits!$G$13*Assumptions!$B$41/9,Benefits!$G$13/12))</f>
        <v/>
      </c>
      <c r="J20" s="102">
        <f>IF(A20&lt;=3,0,IF(B20=1,Benefits!$G$14*Assumptions!$B$41/9,Benefits!$G$14/12))</f>
        <v/>
      </c>
      <c r="K20" s="102">
        <f>IF(A20&lt;=3,0,IF(B20=1,Benefits!$G$15*Assumptions!$B$41/9,Benefits!$G$15/12))</f>
        <v/>
      </c>
      <c r="L20" s="102">
        <f>L19+G20</f>
        <v/>
      </c>
      <c r="M20" s="102">
        <f>M19+H20</f>
        <v/>
      </c>
      <c r="N20" s="102">
        <f>N19+I20</f>
        <v/>
      </c>
      <c r="O20" s="102">
        <f>O19+J20</f>
        <v/>
      </c>
      <c r="P20" s="102">
        <f>P19+K20</f>
        <v/>
      </c>
      <c r="Q20" s="129">
        <f>IF(L20&gt;=F20,A20,"")</f>
        <v/>
      </c>
      <c r="R20" s="129">
        <f>IF(M20&gt;=F20,A20,"")</f>
        <v/>
      </c>
      <c r="S20" s="129">
        <f>IF(N20&gt;=F20,A20,"")</f>
        <v/>
      </c>
      <c r="T20" s="129">
        <f>IF(O20&gt;=F20,A20,"")</f>
        <v/>
      </c>
      <c r="U20" s="129">
        <f>IF(P20&gt;=F20,A20,"")</f>
        <v/>
      </c>
    </row>
    <row r="21" ht="15" customHeight="1" s="70">
      <c r="A21" s="129" t="n">
        <v>17</v>
      </c>
      <c r="B21" s="129">
        <f>ROUNDUP(A21/12,0)</f>
        <v/>
      </c>
      <c r="C21" s="102">
        <f>IF(A21&lt;=3,Costs!$G$7/3,IF(AND(A21&gt;=13,A21&lt;=15),Costs!$G$8/3,0))</f>
        <v/>
      </c>
      <c r="D21" s="102">
        <f>IF(B21=1,Costs!$B$28/12,Costs!$C$28/12)</f>
        <v/>
      </c>
      <c r="E21" s="102">
        <f>C21+D21</f>
        <v/>
      </c>
      <c r="F21" s="102">
        <f>F20+E21</f>
        <v/>
      </c>
      <c r="G21" s="102">
        <f>IF(A21&lt;=3,0,IF(B21=1,Benefits!$G$11*Assumptions!$B$41/9,Benefits!$G$11/12))</f>
        <v/>
      </c>
      <c r="H21" s="102">
        <f>IF(A21&lt;=3,0,IF(B21=1,Benefits!$G$12*Assumptions!$B$41/9,Benefits!$G$12/12))</f>
        <v/>
      </c>
      <c r="I21" s="102">
        <f>IF(A21&lt;=3,0,IF(B21=1,Benefits!$G$13*Assumptions!$B$41/9,Benefits!$G$13/12))</f>
        <v/>
      </c>
      <c r="J21" s="102">
        <f>IF(A21&lt;=3,0,IF(B21=1,Benefits!$G$14*Assumptions!$B$41/9,Benefits!$G$14/12))</f>
        <v/>
      </c>
      <c r="K21" s="102">
        <f>IF(A21&lt;=3,0,IF(B21=1,Benefits!$G$15*Assumptions!$B$41/9,Benefits!$G$15/12))</f>
        <v/>
      </c>
      <c r="L21" s="102">
        <f>L20+G21</f>
        <v/>
      </c>
      <c r="M21" s="102">
        <f>M20+H21</f>
        <v/>
      </c>
      <c r="N21" s="102">
        <f>N20+I21</f>
        <v/>
      </c>
      <c r="O21" s="102">
        <f>O20+J21</f>
        <v/>
      </c>
      <c r="P21" s="102">
        <f>P20+K21</f>
        <v/>
      </c>
      <c r="Q21" s="129">
        <f>IF(L21&gt;=F21,A21,"")</f>
        <v/>
      </c>
      <c r="R21" s="129">
        <f>IF(M21&gt;=F21,A21,"")</f>
        <v/>
      </c>
      <c r="S21" s="129">
        <f>IF(N21&gt;=F21,A21,"")</f>
        <v/>
      </c>
      <c r="T21" s="129">
        <f>IF(O21&gt;=F21,A21,"")</f>
        <v/>
      </c>
      <c r="U21" s="129">
        <f>IF(P21&gt;=F21,A21,"")</f>
        <v/>
      </c>
    </row>
    <row r="22" ht="15" customHeight="1" s="70">
      <c r="A22" s="129" t="n">
        <v>18</v>
      </c>
      <c r="B22" s="129">
        <f>ROUNDUP(A22/12,0)</f>
        <v/>
      </c>
      <c r="C22" s="102">
        <f>IF(A22&lt;=3,Costs!$G$7/3,IF(AND(A22&gt;=13,A22&lt;=15),Costs!$G$8/3,0))</f>
        <v/>
      </c>
      <c r="D22" s="102">
        <f>IF(B22=1,Costs!$B$28/12,Costs!$C$28/12)</f>
        <v/>
      </c>
      <c r="E22" s="102">
        <f>C22+D22</f>
        <v/>
      </c>
      <c r="F22" s="102">
        <f>F21+E22</f>
        <v/>
      </c>
      <c r="G22" s="102">
        <f>IF(A22&lt;=3,0,IF(B22=1,Benefits!$G$11*Assumptions!$B$41/9,Benefits!$G$11/12))</f>
        <v/>
      </c>
      <c r="H22" s="102">
        <f>IF(A22&lt;=3,0,IF(B22=1,Benefits!$G$12*Assumptions!$B$41/9,Benefits!$G$12/12))</f>
        <v/>
      </c>
      <c r="I22" s="102">
        <f>IF(A22&lt;=3,0,IF(B22=1,Benefits!$G$13*Assumptions!$B$41/9,Benefits!$G$13/12))</f>
        <v/>
      </c>
      <c r="J22" s="102">
        <f>IF(A22&lt;=3,0,IF(B22=1,Benefits!$G$14*Assumptions!$B$41/9,Benefits!$G$14/12))</f>
        <v/>
      </c>
      <c r="K22" s="102">
        <f>IF(A22&lt;=3,0,IF(B22=1,Benefits!$G$15*Assumptions!$B$41/9,Benefits!$G$15/12))</f>
        <v/>
      </c>
      <c r="L22" s="102">
        <f>L21+G22</f>
        <v/>
      </c>
      <c r="M22" s="102">
        <f>M21+H22</f>
        <v/>
      </c>
      <c r="N22" s="102">
        <f>N21+I22</f>
        <v/>
      </c>
      <c r="O22" s="102">
        <f>O21+J22</f>
        <v/>
      </c>
      <c r="P22" s="102">
        <f>P21+K22</f>
        <v/>
      </c>
      <c r="Q22" s="129">
        <f>IF(L22&gt;=F22,A22,"")</f>
        <v/>
      </c>
      <c r="R22" s="129">
        <f>IF(M22&gt;=F22,A22,"")</f>
        <v/>
      </c>
      <c r="S22" s="129">
        <f>IF(N22&gt;=F22,A22,"")</f>
        <v/>
      </c>
      <c r="T22" s="129">
        <f>IF(O22&gt;=F22,A22,"")</f>
        <v/>
      </c>
      <c r="U22" s="129">
        <f>IF(P22&gt;=F22,A22,"")</f>
        <v/>
      </c>
    </row>
    <row r="23" ht="15" customHeight="1" s="70">
      <c r="A23" s="129" t="n">
        <v>19</v>
      </c>
      <c r="B23" s="129">
        <f>ROUNDUP(A23/12,0)</f>
        <v/>
      </c>
      <c r="C23" s="102">
        <f>IF(A23&lt;=3,Costs!$G$7/3,IF(AND(A23&gt;=13,A23&lt;=15),Costs!$G$8/3,0))</f>
        <v/>
      </c>
      <c r="D23" s="102">
        <f>IF(B23=1,Costs!$B$28/12,Costs!$C$28/12)</f>
        <v/>
      </c>
      <c r="E23" s="102">
        <f>C23+D23</f>
        <v/>
      </c>
      <c r="F23" s="102">
        <f>F22+E23</f>
        <v/>
      </c>
      <c r="G23" s="102">
        <f>IF(A23&lt;=3,0,IF(B23=1,Benefits!$G$11*Assumptions!$B$41/9,Benefits!$G$11/12))</f>
        <v/>
      </c>
      <c r="H23" s="102">
        <f>IF(A23&lt;=3,0,IF(B23=1,Benefits!$G$12*Assumptions!$B$41/9,Benefits!$G$12/12))</f>
        <v/>
      </c>
      <c r="I23" s="102">
        <f>IF(A23&lt;=3,0,IF(B23=1,Benefits!$G$13*Assumptions!$B$41/9,Benefits!$G$13/12))</f>
        <v/>
      </c>
      <c r="J23" s="102">
        <f>IF(A23&lt;=3,0,IF(B23=1,Benefits!$G$14*Assumptions!$B$41/9,Benefits!$G$14/12))</f>
        <v/>
      </c>
      <c r="K23" s="102">
        <f>IF(A23&lt;=3,0,IF(B23=1,Benefits!$G$15*Assumptions!$B$41/9,Benefits!$G$15/12))</f>
        <v/>
      </c>
      <c r="L23" s="102">
        <f>L22+G23</f>
        <v/>
      </c>
      <c r="M23" s="102">
        <f>M22+H23</f>
        <v/>
      </c>
      <c r="N23" s="102">
        <f>N22+I23</f>
        <v/>
      </c>
      <c r="O23" s="102">
        <f>O22+J23</f>
        <v/>
      </c>
      <c r="P23" s="102">
        <f>P22+K23</f>
        <v/>
      </c>
      <c r="Q23" s="129">
        <f>IF(L23&gt;=F23,A23,"")</f>
        <v/>
      </c>
      <c r="R23" s="129">
        <f>IF(M23&gt;=F23,A23,"")</f>
        <v/>
      </c>
      <c r="S23" s="129">
        <f>IF(N23&gt;=F23,A23,"")</f>
        <v/>
      </c>
      <c r="T23" s="129">
        <f>IF(O23&gt;=F23,A23,"")</f>
        <v/>
      </c>
      <c r="U23" s="129">
        <f>IF(P23&gt;=F23,A23,"")</f>
        <v/>
      </c>
    </row>
    <row r="24" ht="15" customHeight="1" s="70">
      <c r="A24" s="129" t="n">
        <v>20</v>
      </c>
      <c r="B24" s="129">
        <f>ROUNDUP(A24/12,0)</f>
        <v/>
      </c>
      <c r="C24" s="102">
        <f>IF(A24&lt;=3,Costs!$G$7/3,IF(AND(A24&gt;=13,A24&lt;=15),Costs!$G$8/3,0))</f>
        <v/>
      </c>
      <c r="D24" s="102">
        <f>IF(B24=1,Costs!$B$28/12,Costs!$C$28/12)</f>
        <v/>
      </c>
      <c r="E24" s="102">
        <f>C24+D24</f>
        <v/>
      </c>
      <c r="F24" s="102">
        <f>F23+E24</f>
        <v/>
      </c>
      <c r="G24" s="102">
        <f>IF(A24&lt;=3,0,IF(B24=1,Benefits!$G$11*Assumptions!$B$41/9,Benefits!$G$11/12))</f>
        <v/>
      </c>
      <c r="H24" s="102">
        <f>IF(A24&lt;=3,0,IF(B24=1,Benefits!$G$12*Assumptions!$B$41/9,Benefits!$G$12/12))</f>
        <v/>
      </c>
      <c r="I24" s="102">
        <f>IF(A24&lt;=3,0,IF(B24=1,Benefits!$G$13*Assumptions!$B$41/9,Benefits!$G$13/12))</f>
        <v/>
      </c>
      <c r="J24" s="102">
        <f>IF(A24&lt;=3,0,IF(B24=1,Benefits!$G$14*Assumptions!$B$41/9,Benefits!$G$14/12))</f>
        <v/>
      </c>
      <c r="K24" s="102">
        <f>IF(A24&lt;=3,0,IF(B24=1,Benefits!$G$15*Assumptions!$B$41/9,Benefits!$G$15/12))</f>
        <v/>
      </c>
      <c r="L24" s="102">
        <f>L23+G24</f>
        <v/>
      </c>
      <c r="M24" s="102">
        <f>M23+H24</f>
        <v/>
      </c>
      <c r="N24" s="102">
        <f>N23+I24</f>
        <v/>
      </c>
      <c r="O24" s="102">
        <f>O23+J24</f>
        <v/>
      </c>
      <c r="P24" s="102">
        <f>P23+K24</f>
        <v/>
      </c>
      <c r="Q24" s="129">
        <f>IF(L24&gt;=F24,A24,"")</f>
        <v/>
      </c>
      <c r="R24" s="129">
        <f>IF(M24&gt;=F24,A24,"")</f>
        <v/>
      </c>
      <c r="S24" s="129">
        <f>IF(N24&gt;=F24,A24,"")</f>
        <v/>
      </c>
      <c r="T24" s="129">
        <f>IF(O24&gt;=F24,A24,"")</f>
        <v/>
      </c>
      <c r="U24" s="129">
        <f>IF(P24&gt;=F24,A24,"")</f>
        <v/>
      </c>
    </row>
    <row r="25" ht="15" customHeight="1" s="70">
      <c r="A25" s="129" t="n">
        <v>21</v>
      </c>
      <c r="B25" s="129">
        <f>ROUNDUP(A25/12,0)</f>
        <v/>
      </c>
      <c r="C25" s="102">
        <f>IF(A25&lt;=3,Costs!$G$7/3,IF(AND(A25&gt;=13,A25&lt;=15),Costs!$G$8/3,0))</f>
        <v/>
      </c>
      <c r="D25" s="102">
        <f>IF(B25=1,Costs!$B$28/12,Costs!$C$28/12)</f>
        <v/>
      </c>
      <c r="E25" s="102">
        <f>C25+D25</f>
        <v/>
      </c>
      <c r="F25" s="102">
        <f>F24+E25</f>
        <v/>
      </c>
      <c r="G25" s="102">
        <f>IF(A25&lt;=3,0,IF(B25=1,Benefits!$G$11*Assumptions!$B$41/9,Benefits!$G$11/12))</f>
        <v/>
      </c>
      <c r="H25" s="102">
        <f>IF(A25&lt;=3,0,IF(B25=1,Benefits!$G$12*Assumptions!$B$41/9,Benefits!$G$12/12))</f>
        <v/>
      </c>
      <c r="I25" s="102">
        <f>IF(A25&lt;=3,0,IF(B25=1,Benefits!$G$13*Assumptions!$B$41/9,Benefits!$G$13/12))</f>
        <v/>
      </c>
      <c r="J25" s="102">
        <f>IF(A25&lt;=3,0,IF(B25=1,Benefits!$G$14*Assumptions!$B$41/9,Benefits!$G$14/12))</f>
        <v/>
      </c>
      <c r="K25" s="102">
        <f>IF(A25&lt;=3,0,IF(B25=1,Benefits!$G$15*Assumptions!$B$41/9,Benefits!$G$15/12))</f>
        <v/>
      </c>
      <c r="L25" s="102">
        <f>L24+G25</f>
        <v/>
      </c>
      <c r="M25" s="102">
        <f>M24+H25</f>
        <v/>
      </c>
      <c r="N25" s="102">
        <f>N24+I25</f>
        <v/>
      </c>
      <c r="O25" s="102">
        <f>O24+J25</f>
        <v/>
      </c>
      <c r="P25" s="102">
        <f>P24+K25</f>
        <v/>
      </c>
      <c r="Q25" s="129">
        <f>IF(L25&gt;=F25,A25,"")</f>
        <v/>
      </c>
      <c r="R25" s="129">
        <f>IF(M25&gt;=F25,A25,"")</f>
        <v/>
      </c>
      <c r="S25" s="129">
        <f>IF(N25&gt;=F25,A25,"")</f>
        <v/>
      </c>
      <c r="T25" s="129">
        <f>IF(O25&gt;=F25,A25,"")</f>
        <v/>
      </c>
      <c r="U25" s="129">
        <f>IF(P25&gt;=F25,A25,"")</f>
        <v/>
      </c>
    </row>
    <row r="26" ht="15" customHeight="1" s="70">
      <c r="A26" s="129" t="n">
        <v>22</v>
      </c>
      <c r="B26" s="129">
        <f>ROUNDUP(A26/12,0)</f>
        <v/>
      </c>
      <c r="C26" s="102">
        <f>IF(A26&lt;=3,Costs!$G$7/3,IF(AND(A26&gt;=13,A26&lt;=15),Costs!$G$8/3,0))</f>
        <v/>
      </c>
      <c r="D26" s="102">
        <f>IF(B26=1,Costs!$B$28/12,Costs!$C$28/12)</f>
        <v/>
      </c>
      <c r="E26" s="102">
        <f>C26+D26</f>
        <v/>
      </c>
      <c r="F26" s="102">
        <f>F25+E26</f>
        <v/>
      </c>
      <c r="G26" s="102">
        <f>IF(A26&lt;=3,0,IF(B26=1,Benefits!$G$11*Assumptions!$B$41/9,Benefits!$G$11/12))</f>
        <v/>
      </c>
      <c r="H26" s="102">
        <f>IF(A26&lt;=3,0,IF(B26=1,Benefits!$G$12*Assumptions!$B$41/9,Benefits!$G$12/12))</f>
        <v/>
      </c>
      <c r="I26" s="102">
        <f>IF(A26&lt;=3,0,IF(B26=1,Benefits!$G$13*Assumptions!$B$41/9,Benefits!$G$13/12))</f>
        <v/>
      </c>
      <c r="J26" s="102">
        <f>IF(A26&lt;=3,0,IF(B26=1,Benefits!$G$14*Assumptions!$B$41/9,Benefits!$G$14/12))</f>
        <v/>
      </c>
      <c r="K26" s="102">
        <f>IF(A26&lt;=3,0,IF(B26=1,Benefits!$G$15*Assumptions!$B$41/9,Benefits!$G$15/12))</f>
        <v/>
      </c>
      <c r="L26" s="102">
        <f>L25+G26</f>
        <v/>
      </c>
      <c r="M26" s="102">
        <f>M25+H26</f>
        <v/>
      </c>
      <c r="N26" s="102">
        <f>N25+I26</f>
        <v/>
      </c>
      <c r="O26" s="102">
        <f>O25+J26</f>
        <v/>
      </c>
      <c r="P26" s="102">
        <f>P25+K26</f>
        <v/>
      </c>
      <c r="Q26" s="129">
        <f>IF(L26&gt;=F26,A26,"")</f>
        <v/>
      </c>
      <c r="R26" s="129">
        <f>IF(M26&gt;=F26,A26,"")</f>
        <v/>
      </c>
      <c r="S26" s="129">
        <f>IF(N26&gt;=F26,A26,"")</f>
        <v/>
      </c>
      <c r="T26" s="129">
        <f>IF(O26&gt;=F26,A26,"")</f>
        <v/>
      </c>
      <c r="U26" s="129">
        <f>IF(P26&gt;=F26,A26,"")</f>
        <v/>
      </c>
    </row>
    <row r="27" ht="15" customHeight="1" s="70">
      <c r="A27" s="129" t="n">
        <v>23</v>
      </c>
      <c r="B27" s="129">
        <f>ROUNDUP(A27/12,0)</f>
        <v/>
      </c>
      <c r="C27" s="102">
        <f>IF(A27&lt;=3,Costs!$G$7/3,IF(AND(A27&gt;=13,A27&lt;=15),Costs!$G$8/3,0))</f>
        <v/>
      </c>
      <c r="D27" s="102">
        <f>IF(B27=1,Costs!$B$28/12,Costs!$C$28/12)</f>
        <v/>
      </c>
      <c r="E27" s="102">
        <f>C27+D27</f>
        <v/>
      </c>
      <c r="F27" s="102">
        <f>F26+E27</f>
        <v/>
      </c>
      <c r="G27" s="102">
        <f>IF(A27&lt;=3,0,IF(B27=1,Benefits!$G$11*Assumptions!$B$41/9,Benefits!$G$11/12))</f>
        <v/>
      </c>
      <c r="H27" s="102">
        <f>IF(A27&lt;=3,0,IF(B27=1,Benefits!$G$12*Assumptions!$B$41/9,Benefits!$G$12/12))</f>
        <v/>
      </c>
      <c r="I27" s="102">
        <f>IF(A27&lt;=3,0,IF(B27=1,Benefits!$G$13*Assumptions!$B$41/9,Benefits!$G$13/12))</f>
        <v/>
      </c>
      <c r="J27" s="102">
        <f>IF(A27&lt;=3,0,IF(B27=1,Benefits!$G$14*Assumptions!$B$41/9,Benefits!$G$14/12))</f>
        <v/>
      </c>
      <c r="K27" s="102">
        <f>IF(A27&lt;=3,0,IF(B27=1,Benefits!$G$15*Assumptions!$B$41/9,Benefits!$G$15/12))</f>
        <v/>
      </c>
      <c r="L27" s="102">
        <f>L26+G27</f>
        <v/>
      </c>
      <c r="M27" s="102">
        <f>M26+H27</f>
        <v/>
      </c>
      <c r="N27" s="102">
        <f>N26+I27</f>
        <v/>
      </c>
      <c r="O27" s="102">
        <f>O26+J27</f>
        <v/>
      </c>
      <c r="P27" s="102">
        <f>P26+K27</f>
        <v/>
      </c>
      <c r="Q27" s="129">
        <f>IF(L27&gt;=F27,A27,"")</f>
        <v/>
      </c>
      <c r="R27" s="129">
        <f>IF(M27&gt;=F27,A27,"")</f>
        <v/>
      </c>
      <c r="S27" s="129">
        <f>IF(N27&gt;=F27,A27,"")</f>
        <v/>
      </c>
      <c r="T27" s="129">
        <f>IF(O27&gt;=F27,A27,"")</f>
        <v/>
      </c>
      <c r="U27" s="129">
        <f>IF(P27&gt;=F27,A27,"")</f>
        <v/>
      </c>
    </row>
    <row r="28" ht="15" customHeight="1" s="70">
      <c r="A28" s="129" t="n">
        <v>24</v>
      </c>
      <c r="B28" s="129">
        <f>ROUNDUP(A28/12,0)</f>
        <v/>
      </c>
      <c r="C28" s="102">
        <f>IF(A28&lt;=3,Costs!$G$7/3,IF(AND(A28&gt;=13,A28&lt;=15),Costs!$G$8/3,0))</f>
        <v/>
      </c>
      <c r="D28" s="102">
        <f>IF(B28=1,Costs!$B$28/12,Costs!$C$28/12)</f>
        <v/>
      </c>
      <c r="E28" s="102">
        <f>C28+D28</f>
        <v/>
      </c>
      <c r="F28" s="102">
        <f>F27+E28</f>
        <v/>
      </c>
      <c r="G28" s="102">
        <f>IF(A28&lt;=3,0,IF(B28=1,Benefits!$G$11*Assumptions!$B$41/9,Benefits!$G$11/12))</f>
        <v/>
      </c>
      <c r="H28" s="102">
        <f>IF(A28&lt;=3,0,IF(B28=1,Benefits!$G$12*Assumptions!$B$41/9,Benefits!$G$12/12))</f>
        <v/>
      </c>
      <c r="I28" s="102">
        <f>IF(A28&lt;=3,0,IF(B28=1,Benefits!$G$13*Assumptions!$B$41/9,Benefits!$G$13/12))</f>
        <v/>
      </c>
      <c r="J28" s="102">
        <f>IF(A28&lt;=3,0,IF(B28=1,Benefits!$G$14*Assumptions!$B$41/9,Benefits!$G$14/12))</f>
        <v/>
      </c>
      <c r="K28" s="102">
        <f>IF(A28&lt;=3,0,IF(B28=1,Benefits!$G$15*Assumptions!$B$41/9,Benefits!$G$15/12))</f>
        <v/>
      </c>
      <c r="L28" s="102">
        <f>L27+G28</f>
        <v/>
      </c>
      <c r="M28" s="102">
        <f>M27+H28</f>
        <v/>
      </c>
      <c r="N28" s="102">
        <f>N27+I28</f>
        <v/>
      </c>
      <c r="O28" s="102">
        <f>O27+J28</f>
        <v/>
      </c>
      <c r="P28" s="102">
        <f>P27+K28</f>
        <v/>
      </c>
      <c r="Q28" s="129">
        <f>IF(L28&gt;=F28,A28,"")</f>
        <v/>
      </c>
      <c r="R28" s="129">
        <f>IF(M28&gt;=F28,A28,"")</f>
        <v/>
      </c>
      <c r="S28" s="129">
        <f>IF(N28&gt;=F28,A28,"")</f>
        <v/>
      </c>
      <c r="T28" s="129">
        <f>IF(O28&gt;=F28,A28,"")</f>
        <v/>
      </c>
      <c r="U28" s="129">
        <f>IF(P28&gt;=F28,A28,"")</f>
        <v/>
      </c>
    </row>
    <row r="29" ht="15" customHeight="1" s="70">
      <c r="A29" s="129" t="n">
        <v>25</v>
      </c>
      <c r="B29" s="129">
        <f>ROUNDUP(A29/12,0)</f>
        <v/>
      </c>
      <c r="C29" s="102">
        <f>IF(A29&lt;=3,Costs!$G$7/3,IF(AND(A29&gt;=13,A29&lt;=15),Costs!$G$8/3,0))</f>
        <v/>
      </c>
      <c r="D29" s="102">
        <f>IF(B29=1,Costs!$B$28/12,Costs!$C$28/12)</f>
        <v/>
      </c>
      <c r="E29" s="102">
        <f>C29+D29</f>
        <v/>
      </c>
      <c r="F29" s="102">
        <f>F28+E29</f>
        <v/>
      </c>
      <c r="G29" s="102">
        <f>IF(A29&lt;=3,0,IF(B29=1,Benefits!$G$11*Assumptions!$B$41/9,Benefits!$G$11/12))</f>
        <v/>
      </c>
      <c r="H29" s="102">
        <f>IF(A29&lt;=3,0,IF(B29=1,Benefits!$G$12*Assumptions!$B$41/9,Benefits!$G$12/12))</f>
        <v/>
      </c>
      <c r="I29" s="102">
        <f>IF(A29&lt;=3,0,IF(B29=1,Benefits!$G$13*Assumptions!$B$41/9,Benefits!$G$13/12))</f>
        <v/>
      </c>
      <c r="J29" s="102">
        <f>IF(A29&lt;=3,0,IF(B29=1,Benefits!$G$14*Assumptions!$B$41/9,Benefits!$G$14/12))</f>
        <v/>
      </c>
      <c r="K29" s="102">
        <f>IF(A29&lt;=3,0,IF(B29=1,Benefits!$G$15*Assumptions!$B$41/9,Benefits!$G$15/12))</f>
        <v/>
      </c>
      <c r="L29" s="102">
        <f>L28+G29</f>
        <v/>
      </c>
      <c r="M29" s="102">
        <f>M28+H29</f>
        <v/>
      </c>
      <c r="N29" s="102">
        <f>N28+I29</f>
        <v/>
      </c>
      <c r="O29" s="102">
        <f>O28+J29</f>
        <v/>
      </c>
      <c r="P29" s="102">
        <f>P28+K29</f>
        <v/>
      </c>
      <c r="Q29" s="129">
        <f>IF(L29&gt;=F29,A29,"")</f>
        <v/>
      </c>
      <c r="R29" s="129">
        <f>IF(M29&gt;=F29,A29,"")</f>
        <v/>
      </c>
      <c r="S29" s="129">
        <f>IF(N29&gt;=F29,A29,"")</f>
        <v/>
      </c>
      <c r="T29" s="129">
        <f>IF(O29&gt;=F29,A29,"")</f>
        <v/>
      </c>
      <c r="U29" s="129">
        <f>IF(P29&gt;=F29,A29,"")</f>
        <v/>
      </c>
    </row>
    <row r="30" ht="15" customHeight="1" s="70">
      <c r="A30" s="129" t="n">
        <v>26</v>
      </c>
      <c r="B30" s="129">
        <f>ROUNDUP(A30/12,0)</f>
        <v/>
      </c>
      <c r="C30" s="102">
        <f>IF(A30&lt;=3,Costs!$G$7/3,IF(AND(A30&gt;=13,A30&lt;=15),Costs!$G$8/3,0))</f>
        <v/>
      </c>
      <c r="D30" s="102">
        <f>IF(B30=1,Costs!$B$28/12,Costs!$C$28/12)</f>
        <v/>
      </c>
      <c r="E30" s="102">
        <f>C30+D30</f>
        <v/>
      </c>
      <c r="F30" s="102">
        <f>F29+E30</f>
        <v/>
      </c>
      <c r="G30" s="102">
        <f>IF(A30&lt;=3,0,IF(B30=1,Benefits!$G$11*Assumptions!$B$41/9,Benefits!$G$11/12))</f>
        <v/>
      </c>
      <c r="H30" s="102">
        <f>IF(A30&lt;=3,0,IF(B30=1,Benefits!$G$12*Assumptions!$B$41/9,Benefits!$G$12/12))</f>
        <v/>
      </c>
      <c r="I30" s="102">
        <f>IF(A30&lt;=3,0,IF(B30=1,Benefits!$G$13*Assumptions!$B$41/9,Benefits!$G$13/12))</f>
        <v/>
      </c>
      <c r="J30" s="102">
        <f>IF(A30&lt;=3,0,IF(B30=1,Benefits!$G$14*Assumptions!$B$41/9,Benefits!$G$14/12))</f>
        <v/>
      </c>
      <c r="K30" s="102">
        <f>IF(A30&lt;=3,0,IF(B30=1,Benefits!$G$15*Assumptions!$B$41/9,Benefits!$G$15/12))</f>
        <v/>
      </c>
      <c r="L30" s="102">
        <f>L29+G30</f>
        <v/>
      </c>
      <c r="M30" s="102">
        <f>M29+H30</f>
        <v/>
      </c>
      <c r="N30" s="102">
        <f>N29+I30</f>
        <v/>
      </c>
      <c r="O30" s="102">
        <f>O29+J30</f>
        <v/>
      </c>
      <c r="P30" s="102">
        <f>P29+K30</f>
        <v/>
      </c>
      <c r="Q30" s="129">
        <f>IF(L30&gt;=F30,A30,"")</f>
        <v/>
      </c>
      <c r="R30" s="129">
        <f>IF(M30&gt;=F30,A30,"")</f>
        <v/>
      </c>
      <c r="S30" s="129">
        <f>IF(N30&gt;=F30,A30,"")</f>
        <v/>
      </c>
      <c r="T30" s="129">
        <f>IF(O30&gt;=F30,A30,"")</f>
        <v/>
      </c>
      <c r="U30" s="129">
        <f>IF(P30&gt;=F30,A30,"")</f>
        <v/>
      </c>
    </row>
    <row r="31" ht="15" customHeight="1" s="70">
      <c r="A31" s="129" t="n">
        <v>27</v>
      </c>
      <c r="B31" s="129">
        <f>ROUNDUP(A31/12,0)</f>
        <v/>
      </c>
      <c r="C31" s="102">
        <f>IF(A31&lt;=3,Costs!$G$7/3,IF(AND(A31&gt;=13,A31&lt;=15),Costs!$G$8/3,0))</f>
        <v/>
      </c>
      <c r="D31" s="102">
        <f>IF(B31=1,Costs!$B$28/12,Costs!$C$28/12)</f>
        <v/>
      </c>
      <c r="E31" s="102">
        <f>C31+D31</f>
        <v/>
      </c>
      <c r="F31" s="102">
        <f>F30+E31</f>
        <v/>
      </c>
      <c r="G31" s="102">
        <f>IF(A31&lt;=3,0,IF(B31=1,Benefits!$G$11*Assumptions!$B$41/9,Benefits!$G$11/12))</f>
        <v/>
      </c>
      <c r="H31" s="102">
        <f>IF(A31&lt;=3,0,IF(B31=1,Benefits!$G$12*Assumptions!$B$41/9,Benefits!$G$12/12))</f>
        <v/>
      </c>
      <c r="I31" s="102">
        <f>IF(A31&lt;=3,0,IF(B31=1,Benefits!$G$13*Assumptions!$B$41/9,Benefits!$G$13/12))</f>
        <v/>
      </c>
      <c r="J31" s="102">
        <f>IF(A31&lt;=3,0,IF(B31=1,Benefits!$G$14*Assumptions!$B$41/9,Benefits!$G$14/12))</f>
        <v/>
      </c>
      <c r="K31" s="102">
        <f>IF(A31&lt;=3,0,IF(B31=1,Benefits!$G$15*Assumptions!$B$41/9,Benefits!$G$15/12))</f>
        <v/>
      </c>
      <c r="L31" s="102">
        <f>L30+G31</f>
        <v/>
      </c>
      <c r="M31" s="102">
        <f>M30+H31</f>
        <v/>
      </c>
      <c r="N31" s="102">
        <f>N30+I31</f>
        <v/>
      </c>
      <c r="O31" s="102">
        <f>O30+J31</f>
        <v/>
      </c>
      <c r="P31" s="102">
        <f>P30+K31</f>
        <v/>
      </c>
      <c r="Q31" s="129">
        <f>IF(L31&gt;=F31,A31,"")</f>
        <v/>
      </c>
      <c r="R31" s="129">
        <f>IF(M31&gt;=F31,A31,"")</f>
        <v/>
      </c>
      <c r="S31" s="129">
        <f>IF(N31&gt;=F31,A31,"")</f>
        <v/>
      </c>
      <c r="T31" s="129">
        <f>IF(O31&gt;=F31,A31,"")</f>
        <v/>
      </c>
      <c r="U31" s="129">
        <f>IF(P31&gt;=F31,A31,"")</f>
        <v/>
      </c>
    </row>
    <row r="32" ht="15" customHeight="1" s="70">
      <c r="A32" s="129" t="n">
        <v>28</v>
      </c>
      <c r="B32" s="129">
        <f>ROUNDUP(A32/12,0)</f>
        <v/>
      </c>
      <c r="C32" s="102">
        <f>IF(A32&lt;=3,Costs!$G$7/3,IF(AND(A32&gt;=13,A32&lt;=15),Costs!$G$8/3,0))</f>
        <v/>
      </c>
      <c r="D32" s="102">
        <f>IF(B32=1,Costs!$B$28/12,Costs!$C$28/12)</f>
        <v/>
      </c>
      <c r="E32" s="102">
        <f>C32+D32</f>
        <v/>
      </c>
      <c r="F32" s="102">
        <f>F31+E32</f>
        <v/>
      </c>
      <c r="G32" s="102">
        <f>IF(A32&lt;=3,0,IF(B32=1,Benefits!$G$11*Assumptions!$B$41/9,Benefits!$G$11/12))</f>
        <v/>
      </c>
      <c r="H32" s="102">
        <f>IF(A32&lt;=3,0,IF(B32=1,Benefits!$G$12*Assumptions!$B$41/9,Benefits!$G$12/12))</f>
        <v/>
      </c>
      <c r="I32" s="102">
        <f>IF(A32&lt;=3,0,IF(B32=1,Benefits!$G$13*Assumptions!$B$41/9,Benefits!$G$13/12))</f>
        <v/>
      </c>
      <c r="J32" s="102">
        <f>IF(A32&lt;=3,0,IF(B32=1,Benefits!$G$14*Assumptions!$B$41/9,Benefits!$G$14/12))</f>
        <v/>
      </c>
      <c r="K32" s="102">
        <f>IF(A32&lt;=3,0,IF(B32=1,Benefits!$G$15*Assumptions!$B$41/9,Benefits!$G$15/12))</f>
        <v/>
      </c>
      <c r="L32" s="102">
        <f>L31+G32</f>
        <v/>
      </c>
      <c r="M32" s="102">
        <f>M31+H32</f>
        <v/>
      </c>
      <c r="N32" s="102">
        <f>N31+I32</f>
        <v/>
      </c>
      <c r="O32" s="102">
        <f>O31+J32</f>
        <v/>
      </c>
      <c r="P32" s="102">
        <f>P31+K32</f>
        <v/>
      </c>
      <c r="Q32" s="129">
        <f>IF(L32&gt;=F32,A32,"")</f>
        <v/>
      </c>
      <c r="R32" s="129">
        <f>IF(M32&gt;=F32,A32,"")</f>
        <v/>
      </c>
      <c r="S32" s="129">
        <f>IF(N32&gt;=F32,A32,"")</f>
        <v/>
      </c>
      <c r="T32" s="129">
        <f>IF(O32&gt;=F32,A32,"")</f>
        <v/>
      </c>
      <c r="U32" s="129">
        <f>IF(P32&gt;=F32,A32,"")</f>
        <v/>
      </c>
    </row>
    <row r="33" ht="15" customHeight="1" s="70">
      <c r="A33" s="129" t="n">
        <v>29</v>
      </c>
      <c r="B33" s="129">
        <f>ROUNDUP(A33/12,0)</f>
        <v/>
      </c>
      <c r="C33" s="102">
        <f>IF(A33&lt;=3,Costs!$G$7/3,IF(AND(A33&gt;=13,A33&lt;=15),Costs!$G$8/3,0))</f>
        <v/>
      </c>
      <c r="D33" s="102">
        <f>IF(B33=1,Costs!$B$28/12,Costs!$C$28/12)</f>
        <v/>
      </c>
      <c r="E33" s="102">
        <f>C33+D33</f>
        <v/>
      </c>
      <c r="F33" s="102">
        <f>F32+E33</f>
        <v/>
      </c>
      <c r="G33" s="102">
        <f>IF(A33&lt;=3,0,IF(B33=1,Benefits!$G$11*Assumptions!$B$41/9,Benefits!$G$11/12))</f>
        <v/>
      </c>
      <c r="H33" s="102">
        <f>IF(A33&lt;=3,0,IF(B33=1,Benefits!$G$12*Assumptions!$B$41/9,Benefits!$G$12/12))</f>
        <v/>
      </c>
      <c r="I33" s="102">
        <f>IF(A33&lt;=3,0,IF(B33=1,Benefits!$G$13*Assumptions!$B$41/9,Benefits!$G$13/12))</f>
        <v/>
      </c>
      <c r="J33" s="102">
        <f>IF(A33&lt;=3,0,IF(B33=1,Benefits!$G$14*Assumptions!$B$41/9,Benefits!$G$14/12))</f>
        <v/>
      </c>
      <c r="K33" s="102">
        <f>IF(A33&lt;=3,0,IF(B33=1,Benefits!$G$15*Assumptions!$B$41/9,Benefits!$G$15/12))</f>
        <v/>
      </c>
      <c r="L33" s="102">
        <f>L32+G33</f>
        <v/>
      </c>
      <c r="M33" s="102">
        <f>M32+H33</f>
        <v/>
      </c>
      <c r="N33" s="102">
        <f>N32+I33</f>
        <v/>
      </c>
      <c r="O33" s="102">
        <f>O32+J33</f>
        <v/>
      </c>
      <c r="P33" s="102">
        <f>P32+K33</f>
        <v/>
      </c>
      <c r="Q33" s="129">
        <f>IF(L33&gt;=F33,A33,"")</f>
        <v/>
      </c>
      <c r="R33" s="129">
        <f>IF(M33&gt;=F33,A33,"")</f>
        <v/>
      </c>
      <c r="S33" s="129">
        <f>IF(N33&gt;=F33,A33,"")</f>
        <v/>
      </c>
      <c r="T33" s="129">
        <f>IF(O33&gt;=F33,A33,"")</f>
        <v/>
      </c>
      <c r="U33" s="129">
        <f>IF(P33&gt;=F33,A33,"")</f>
        <v/>
      </c>
    </row>
    <row r="34" ht="15" customHeight="1" s="70">
      <c r="A34" s="129" t="n">
        <v>30</v>
      </c>
      <c r="B34" s="129">
        <f>ROUNDUP(A34/12,0)</f>
        <v/>
      </c>
      <c r="C34" s="102">
        <f>IF(A34&lt;=3,Costs!$G$7/3,IF(AND(A34&gt;=13,A34&lt;=15),Costs!$G$8/3,0))</f>
        <v/>
      </c>
      <c r="D34" s="102">
        <f>IF(B34=1,Costs!$B$28/12,Costs!$C$28/12)</f>
        <v/>
      </c>
      <c r="E34" s="102">
        <f>C34+D34</f>
        <v/>
      </c>
      <c r="F34" s="102">
        <f>F33+E34</f>
        <v/>
      </c>
      <c r="G34" s="102">
        <f>IF(A34&lt;=3,0,IF(B34=1,Benefits!$G$11*Assumptions!$B$41/9,Benefits!$G$11/12))</f>
        <v/>
      </c>
      <c r="H34" s="102">
        <f>IF(A34&lt;=3,0,IF(B34=1,Benefits!$G$12*Assumptions!$B$41/9,Benefits!$G$12/12))</f>
        <v/>
      </c>
      <c r="I34" s="102">
        <f>IF(A34&lt;=3,0,IF(B34=1,Benefits!$G$13*Assumptions!$B$41/9,Benefits!$G$13/12))</f>
        <v/>
      </c>
      <c r="J34" s="102">
        <f>IF(A34&lt;=3,0,IF(B34=1,Benefits!$G$14*Assumptions!$B$41/9,Benefits!$G$14/12))</f>
        <v/>
      </c>
      <c r="K34" s="102">
        <f>IF(A34&lt;=3,0,IF(B34=1,Benefits!$G$15*Assumptions!$B$41/9,Benefits!$G$15/12))</f>
        <v/>
      </c>
      <c r="L34" s="102">
        <f>L33+G34</f>
        <v/>
      </c>
      <c r="M34" s="102">
        <f>M33+H34</f>
        <v/>
      </c>
      <c r="N34" s="102">
        <f>N33+I34</f>
        <v/>
      </c>
      <c r="O34" s="102">
        <f>O33+J34</f>
        <v/>
      </c>
      <c r="P34" s="102">
        <f>P33+K34</f>
        <v/>
      </c>
      <c r="Q34" s="129">
        <f>IF(L34&gt;=F34,A34,"")</f>
        <v/>
      </c>
      <c r="R34" s="129">
        <f>IF(M34&gt;=F34,A34,"")</f>
        <v/>
      </c>
      <c r="S34" s="129">
        <f>IF(N34&gt;=F34,A34,"")</f>
        <v/>
      </c>
      <c r="T34" s="129">
        <f>IF(O34&gt;=F34,A34,"")</f>
        <v/>
      </c>
      <c r="U34" s="129">
        <f>IF(P34&gt;=F34,A34,"")</f>
        <v/>
      </c>
    </row>
    <row r="35" ht="15" customHeight="1" s="70">
      <c r="A35" s="129" t="n">
        <v>31</v>
      </c>
      <c r="B35" s="129">
        <f>ROUNDUP(A35/12,0)</f>
        <v/>
      </c>
      <c r="C35" s="102">
        <f>IF(A35&lt;=3,Costs!$G$7/3,IF(AND(A35&gt;=13,A35&lt;=15),Costs!$G$8/3,0))</f>
        <v/>
      </c>
      <c r="D35" s="102">
        <f>IF(B35=1,Costs!$B$28/12,Costs!$C$28/12)</f>
        <v/>
      </c>
      <c r="E35" s="102">
        <f>C35+D35</f>
        <v/>
      </c>
      <c r="F35" s="102">
        <f>F34+E35</f>
        <v/>
      </c>
      <c r="G35" s="102">
        <f>IF(A35&lt;=3,0,IF(B35=1,Benefits!$G$11*Assumptions!$B$41/9,Benefits!$G$11/12))</f>
        <v/>
      </c>
      <c r="H35" s="102">
        <f>IF(A35&lt;=3,0,IF(B35=1,Benefits!$G$12*Assumptions!$B$41/9,Benefits!$G$12/12))</f>
        <v/>
      </c>
      <c r="I35" s="102">
        <f>IF(A35&lt;=3,0,IF(B35=1,Benefits!$G$13*Assumptions!$B$41/9,Benefits!$G$13/12))</f>
        <v/>
      </c>
      <c r="J35" s="102">
        <f>IF(A35&lt;=3,0,IF(B35=1,Benefits!$G$14*Assumptions!$B$41/9,Benefits!$G$14/12))</f>
        <v/>
      </c>
      <c r="K35" s="102">
        <f>IF(A35&lt;=3,0,IF(B35=1,Benefits!$G$15*Assumptions!$B$41/9,Benefits!$G$15/12))</f>
        <v/>
      </c>
      <c r="L35" s="102">
        <f>L34+G35</f>
        <v/>
      </c>
      <c r="M35" s="102">
        <f>M34+H35</f>
        <v/>
      </c>
      <c r="N35" s="102">
        <f>N34+I35</f>
        <v/>
      </c>
      <c r="O35" s="102">
        <f>O34+J35</f>
        <v/>
      </c>
      <c r="P35" s="102">
        <f>P34+K35</f>
        <v/>
      </c>
      <c r="Q35" s="129">
        <f>IF(L35&gt;=F35,A35,"")</f>
        <v/>
      </c>
      <c r="R35" s="129">
        <f>IF(M35&gt;=F35,A35,"")</f>
        <v/>
      </c>
      <c r="S35" s="129">
        <f>IF(N35&gt;=F35,A35,"")</f>
        <v/>
      </c>
      <c r="T35" s="129">
        <f>IF(O35&gt;=F35,A35,"")</f>
        <v/>
      </c>
      <c r="U35" s="129">
        <f>IF(P35&gt;=F35,A35,"")</f>
        <v/>
      </c>
    </row>
    <row r="36" ht="15" customHeight="1" s="70">
      <c r="A36" s="129" t="n">
        <v>32</v>
      </c>
      <c r="B36" s="129">
        <f>ROUNDUP(A36/12,0)</f>
        <v/>
      </c>
      <c r="C36" s="102">
        <f>IF(A36&lt;=3,Costs!$G$7/3,IF(AND(A36&gt;=13,A36&lt;=15),Costs!$G$8/3,0))</f>
        <v/>
      </c>
      <c r="D36" s="102">
        <f>IF(B36=1,Costs!$B$28/12,Costs!$C$28/12)</f>
        <v/>
      </c>
      <c r="E36" s="102">
        <f>C36+D36</f>
        <v/>
      </c>
      <c r="F36" s="102">
        <f>F35+E36</f>
        <v/>
      </c>
      <c r="G36" s="102">
        <f>IF(A36&lt;=3,0,IF(B36=1,Benefits!$G$11*Assumptions!$B$41/9,Benefits!$G$11/12))</f>
        <v/>
      </c>
      <c r="H36" s="102">
        <f>IF(A36&lt;=3,0,IF(B36=1,Benefits!$G$12*Assumptions!$B$41/9,Benefits!$G$12/12))</f>
        <v/>
      </c>
      <c r="I36" s="102">
        <f>IF(A36&lt;=3,0,IF(B36=1,Benefits!$G$13*Assumptions!$B$41/9,Benefits!$G$13/12))</f>
        <v/>
      </c>
      <c r="J36" s="102">
        <f>IF(A36&lt;=3,0,IF(B36=1,Benefits!$G$14*Assumptions!$B$41/9,Benefits!$G$14/12))</f>
        <v/>
      </c>
      <c r="K36" s="102">
        <f>IF(A36&lt;=3,0,IF(B36=1,Benefits!$G$15*Assumptions!$B$41/9,Benefits!$G$15/12))</f>
        <v/>
      </c>
      <c r="L36" s="102">
        <f>L35+G36</f>
        <v/>
      </c>
      <c r="M36" s="102">
        <f>M35+H36</f>
        <v/>
      </c>
      <c r="N36" s="102">
        <f>N35+I36</f>
        <v/>
      </c>
      <c r="O36" s="102">
        <f>O35+J36</f>
        <v/>
      </c>
      <c r="P36" s="102">
        <f>P35+K36</f>
        <v/>
      </c>
      <c r="Q36" s="129">
        <f>IF(L36&gt;=F36,A36,"")</f>
        <v/>
      </c>
      <c r="R36" s="129">
        <f>IF(M36&gt;=F36,A36,"")</f>
        <v/>
      </c>
      <c r="S36" s="129">
        <f>IF(N36&gt;=F36,A36,"")</f>
        <v/>
      </c>
      <c r="T36" s="129">
        <f>IF(O36&gt;=F36,A36,"")</f>
        <v/>
      </c>
      <c r="U36" s="129">
        <f>IF(P36&gt;=F36,A36,"")</f>
        <v/>
      </c>
    </row>
    <row r="37" ht="15" customHeight="1" s="70">
      <c r="A37" s="129" t="n">
        <v>33</v>
      </c>
      <c r="B37" s="129">
        <f>ROUNDUP(A37/12,0)</f>
        <v/>
      </c>
      <c r="C37" s="102">
        <f>IF(A37&lt;=3,Costs!$G$7/3,IF(AND(A37&gt;=13,A37&lt;=15),Costs!$G$8/3,0))</f>
        <v/>
      </c>
      <c r="D37" s="102">
        <f>IF(B37=1,Costs!$B$28/12,Costs!$C$28/12)</f>
        <v/>
      </c>
      <c r="E37" s="102">
        <f>C37+D37</f>
        <v/>
      </c>
      <c r="F37" s="102">
        <f>F36+E37</f>
        <v/>
      </c>
      <c r="G37" s="102">
        <f>IF(A37&lt;=3,0,IF(B37=1,Benefits!$G$11*Assumptions!$B$41/9,Benefits!$G$11/12))</f>
        <v/>
      </c>
      <c r="H37" s="102">
        <f>IF(A37&lt;=3,0,IF(B37=1,Benefits!$G$12*Assumptions!$B$41/9,Benefits!$G$12/12))</f>
        <v/>
      </c>
      <c r="I37" s="102">
        <f>IF(A37&lt;=3,0,IF(B37=1,Benefits!$G$13*Assumptions!$B$41/9,Benefits!$G$13/12))</f>
        <v/>
      </c>
      <c r="J37" s="102">
        <f>IF(A37&lt;=3,0,IF(B37=1,Benefits!$G$14*Assumptions!$B$41/9,Benefits!$G$14/12))</f>
        <v/>
      </c>
      <c r="K37" s="102">
        <f>IF(A37&lt;=3,0,IF(B37=1,Benefits!$G$15*Assumptions!$B$41/9,Benefits!$G$15/12))</f>
        <v/>
      </c>
      <c r="L37" s="102">
        <f>L36+G37</f>
        <v/>
      </c>
      <c r="M37" s="102">
        <f>M36+H37</f>
        <v/>
      </c>
      <c r="N37" s="102">
        <f>N36+I37</f>
        <v/>
      </c>
      <c r="O37" s="102">
        <f>O36+J37</f>
        <v/>
      </c>
      <c r="P37" s="102">
        <f>P36+K37</f>
        <v/>
      </c>
      <c r="Q37" s="129">
        <f>IF(L37&gt;=F37,A37,"")</f>
        <v/>
      </c>
      <c r="R37" s="129">
        <f>IF(M37&gt;=F37,A37,"")</f>
        <v/>
      </c>
      <c r="S37" s="129">
        <f>IF(N37&gt;=F37,A37,"")</f>
        <v/>
      </c>
      <c r="T37" s="129">
        <f>IF(O37&gt;=F37,A37,"")</f>
        <v/>
      </c>
      <c r="U37" s="129">
        <f>IF(P37&gt;=F37,A37,"")</f>
        <v/>
      </c>
    </row>
    <row r="38" ht="15" customHeight="1" s="70">
      <c r="A38" s="129" t="n">
        <v>34</v>
      </c>
      <c r="B38" s="129">
        <f>ROUNDUP(A38/12,0)</f>
        <v/>
      </c>
      <c r="C38" s="102">
        <f>IF(A38&lt;=3,Costs!$G$7/3,IF(AND(A38&gt;=13,A38&lt;=15),Costs!$G$8/3,0))</f>
        <v/>
      </c>
      <c r="D38" s="102">
        <f>IF(B38=1,Costs!$B$28/12,Costs!$C$28/12)</f>
        <v/>
      </c>
      <c r="E38" s="102">
        <f>C38+D38</f>
        <v/>
      </c>
      <c r="F38" s="102">
        <f>F37+E38</f>
        <v/>
      </c>
      <c r="G38" s="102">
        <f>IF(A38&lt;=3,0,IF(B38=1,Benefits!$G$11*Assumptions!$B$41/9,Benefits!$G$11/12))</f>
        <v/>
      </c>
      <c r="H38" s="102">
        <f>IF(A38&lt;=3,0,IF(B38=1,Benefits!$G$12*Assumptions!$B$41/9,Benefits!$G$12/12))</f>
        <v/>
      </c>
      <c r="I38" s="102">
        <f>IF(A38&lt;=3,0,IF(B38=1,Benefits!$G$13*Assumptions!$B$41/9,Benefits!$G$13/12))</f>
        <v/>
      </c>
      <c r="J38" s="102">
        <f>IF(A38&lt;=3,0,IF(B38=1,Benefits!$G$14*Assumptions!$B$41/9,Benefits!$G$14/12))</f>
        <v/>
      </c>
      <c r="K38" s="102">
        <f>IF(A38&lt;=3,0,IF(B38=1,Benefits!$G$15*Assumptions!$B$41/9,Benefits!$G$15/12))</f>
        <v/>
      </c>
      <c r="L38" s="102">
        <f>L37+G38</f>
        <v/>
      </c>
      <c r="M38" s="102">
        <f>M37+H38</f>
        <v/>
      </c>
      <c r="N38" s="102">
        <f>N37+I38</f>
        <v/>
      </c>
      <c r="O38" s="102">
        <f>O37+J38</f>
        <v/>
      </c>
      <c r="P38" s="102">
        <f>P37+K38</f>
        <v/>
      </c>
      <c r="Q38" s="129">
        <f>IF(L38&gt;=F38,A38,"")</f>
        <v/>
      </c>
      <c r="R38" s="129">
        <f>IF(M38&gt;=F38,A38,"")</f>
        <v/>
      </c>
      <c r="S38" s="129">
        <f>IF(N38&gt;=F38,A38,"")</f>
        <v/>
      </c>
      <c r="T38" s="129">
        <f>IF(O38&gt;=F38,A38,"")</f>
        <v/>
      </c>
      <c r="U38" s="129">
        <f>IF(P38&gt;=F38,A38,"")</f>
        <v/>
      </c>
    </row>
    <row r="39" ht="15" customHeight="1" s="70">
      <c r="A39" s="129" t="n">
        <v>35</v>
      </c>
      <c r="B39" s="129">
        <f>ROUNDUP(A39/12,0)</f>
        <v/>
      </c>
      <c r="C39" s="102">
        <f>IF(A39&lt;=3,Costs!$G$7/3,IF(AND(A39&gt;=13,A39&lt;=15),Costs!$G$8/3,0))</f>
        <v/>
      </c>
      <c r="D39" s="102">
        <f>IF(B39=1,Costs!$B$28/12,Costs!$C$28/12)</f>
        <v/>
      </c>
      <c r="E39" s="102">
        <f>C39+D39</f>
        <v/>
      </c>
      <c r="F39" s="102">
        <f>F38+E39</f>
        <v/>
      </c>
      <c r="G39" s="102">
        <f>IF(A39&lt;=3,0,IF(B39=1,Benefits!$G$11*Assumptions!$B$41/9,Benefits!$G$11/12))</f>
        <v/>
      </c>
      <c r="H39" s="102">
        <f>IF(A39&lt;=3,0,IF(B39=1,Benefits!$G$12*Assumptions!$B$41/9,Benefits!$G$12/12))</f>
        <v/>
      </c>
      <c r="I39" s="102">
        <f>IF(A39&lt;=3,0,IF(B39=1,Benefits!$G$13*Assumptions!$B$41/9,Benefits!$G$13/12))</f>
        <v/>
      </c>
      <c r="J39" s="102">
        <f>IF(A39&lt;=3,0,IF(B39=1,Benefits!$G$14*Assumptions!$B$41/9,Benefits!$G$14/12))</f>
        <v/>
      </c>
      <c r="K39" s="102">
        <f>IF(A39&lt;=3,0,IF(B39=1,Benefits!$G$15*Assumptions!$B$41/9,Benefits!$G$15/12))</f>
        <v/>
      </c>
      <c r="L39" s="102">
        <f>L38+G39</f>
        <v/>
      </c>
      <c r="M39" s="102">
        <f>M38+H39</f>
        <v/>
      </c>
      <c r="N39" s="102">
        <f>N38+I39</f>
        <v/>
      </c>
      <c r="O39" s="102">
        <f>O38+J39</f>
        <v/>
      </c>
      <c r="P39" s="102">
        <f>P38+K39</f>
        <v/>
      </c>
      <c r="Q39" s="129">
        <f>IF(L39&gt;=F39,A39,"")</f>
        <v/>
      </c>
      <c r="R39" s="129">
        <f>IF(M39&gt;=F39,A39,"")</f>
        <v/>
      </c>
      <c r="S39" s="129">
        <f>IF(N39&gt;=F39,A39,"")</f>
        <v/>
      </c>
      <c r="T39" s="129">
        <f>IF(O39&gt;=F39,A39,"")</f>
        <v/>
      </c>
      <c r="U39" s="129">
        <f>IF(P39&gt;=F39,A39,"")</f>
        <v/>
      </c>
    </row>
    <row r="40" ht="15" customHeight="1" s="70">
      <c r="A40" s="129" t="n">
        <v>36</v>
      </c>
      <c r="B40" s="129">
        <f>ROUNDUP(A40/12,0)</f>
        <v/>
      </c>
      <c r="C40" s="102">
        <f>IF(A40&lt;=3,Costs!$G$7/3,IF(AND(A40&gt;=13,A40&lt;=15),Costs!$G$8/3,0))</f>
        <v/>
      </c>
      <c r="D40" s="102">
        <f>IF(B40=1,Costs!$B$28/12,Costs!$C$28/12)</f>
        <v/>
      </c>
      <c r="E40" s="102">
        <f>C40+D40</f>
        <v/>
      </c>
      <c r="F40" s="102">
        <f>F39+E40</f>
        <v/>
      </c>
      <c r="G40" s="102">
        <f>IF(A40&lt;=3,0,IF(B40=1,Benefits!$G$11*Assumptions!$B$41/9,Benefits!$G$11/12))</f>
        <v/>
      </c>
      <c r="H40" s="102">
        <f>IF(A40&lt;=3,0,IF(B40=1,Benefits!$G$12*Assumptions!$B$41/9,Benefits!$G$12/12))</f>
        <v/>
      </c>
      <c r="I40" s="102">
        <f>IF(A40&lt;=3,0,IF(B40=1,Benefits!$G$13*Assumptions!$B$41/9,Benefits!$G$13/12))</f>
        <v/>
      </c>
      <c r="J40" s="102">
        <f>IF(A40&lt;=3,0,IF(B40=1,Benefits!$G$14*Assumptions!$B$41/9,Benefits!$G$14/12))</f>
        <v/>
      </c>
      <c r="K40" s="102">
        <f>IF(A40&lt;=3,0,IF(B40=1,Benefits!$G$15*Assumptions!$B$41/9,Benefits!$G$15/12))</f>
        <v/>
      </c>
      <c r="L40" s="102">
        <f>L39+G40</f>
        <v/>
      </c>
      <c r="M40" s="102">
        <f>M39+H40</f>
        <v/>
      </c>
      <c r="N40" s="102">
        <f>N39+I40</f>
        <v/>
      </c>
      <c r="O40" s="102">
        <f>O39+J40</f>
        <v/>
      </c>
      <c r="P40" s="102">
        <f>P39+K40</f>
        <v/>
      </c>
      <c r="Q40" s="129">
        <f>IF(L40&gt;=F40,A40,"")</f>
        <v/>
      </c>
      <c r="R40" s="129">
        <f>IF(M40&gt;=F40,A40,"")</f>
        <v/>
      </c>
      <c r="S40" s="129">
        <f>IF(N40&gt;=F40,A40,"")</f>
        <v/>
      </c>
      <c r="T40" s="129">
        <f>IF(O40&gt;=F40,A40,"")</f>
        <v/>
      </c>
      <c r="U40" s="129">
        <f>IF(P40&gt;=F40,A40,"")</f>
        <v/>
      </c>
    </row>
    <row r="42" ht="15" customHeight="1" s="70">
      <c r="A42" s="75" t="inlineStr">
        <is>
          <t>Payback month</t>
        </is>
      </c>
      <c r="Q42" s="131">
        <f>IF(COUNT(Q5:Q40)=0,"none",MIN(Q5:Q40))</f>
        <v/>
      </c>
      <c r="R42" s="131">
        <f>IF(COUNT(R5:R40)=0,"none",MIN(R5:R40))</f>
        <v/>
      </c>
      <c r="S42" s="131">
        <f>IF(COUNT(S5:S40)=0,"none",MIN(S5:S40))</f>
        <v/>
      </c>
      <c r="T42" s="131">
        <f>IF(COUNT(T5:T40)=0,"none",MIN(T5:T40))</f>
        <v/>
      </c>
      <c r="U42" s="131">
        <f>IF(COUNT(U5:U40)=0,"none",MIN(U5:U40))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J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30" customWidth="1" style="69" min="1" max="1"/>
    <col width="15" customWidth="1" style="69" min="2" max="4"/>
    <col width="16" customWidth="1" style="69" min="5" max="7"/>
    <col width="9" customWidth="1" style="69" min="8" max="8"/>
    <col width="16" customWidth="1" style="69" min="9" max="9"/>
    <col width="12" customWidth="1" style="69" min="10" max="10"/>
  </cols>
  <sheetData>
    <row r="1" ht="21" customHeight="1" s="70">
      <c r="A1" s="71" t="inlineStr">
        <is>
          <t>Cost-benefit analysis</t>
        </is>
      </c>
    </row>
    <row r="2" ht="15" customHeight="1" s="70">
      <c r="A2" s="72" t="inlineStr">
        <is>
          <t>Three years, discounted at the rate on Assumptions. Year-1 benefit ramped for build and adoption.</t>
        </is>
      </c>
    </row>
    <row r="4" ht="16.5" customHeight="1" s="70">
      <c r="A4" s="73" t="inlineStr">
        <is>
          <t>THE CASE</t>
        </is>
      </c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</row>
    <row r="5" ht="15" customHeight="1" s="70">
      <c r="A5" s="97" t="inlineStr">
        <is>
          <t>Scenario</t>
        </is>
      </c>
      <c r="B5" s="98" t="inlineStr">
        <is>
          <t>Y1 benefit</t>
        </is>
      </c>
      <c r="C5" s="98" t="inlineStr">
        <is>
          <t>Y2 benefit</t>
        </is>
      </c>
      <c r="D5" s="98" t="inlineStr">
        <is>
          <t>Y3 benefit</t>
        </is>
      </c>
      <c r="E5" s="98" t="inlineStr">
        <is>
          <t>3-yr benefit</t>
        </is>
      </c>
      <c r="F5" s="98" t="inlineStr">
        <is>
          <t>3-yr cost</t>
        </is>
      </c>
      <c r="G5" s="98" t="inlineStr">
        <is>
          <t>Net</t>
        </is>
      </c>
      <c r="H5" s="98" t="inlineStr">
        <is>
          <t>BCR</t>
        </is>
      </c>
      <c r="I5" s="98" t="inlineStr">
        <is>
          <t>NPV</t>
        </is>
      </c>
      <c r="J5" s="98" t="inlineStr">
        <is>
          <t>Payback</t>
        </is>
      </c>
    </row>
    <row r="6" ht="15" customHeight="1" s="70">
      <c r="A6" s="81" t="inlineStr">
        <is>
          <t>Conservative — 2 fills/yr</t>
        </is>
      </c>
      <c r="B6" s="102">
        <f>Benefits!$G$11*Assumptions!$B$41</f>
        <v/>
      </c>
      <c r="C6" s="102">
        <f>Benefits!$G$11</f>
        <v/>
      </c>
      <c r="D6" s="102">
        <f>Benefits!$G$11</f>
        <v/>
      </c>
      <c r="E6" s="106">
        <f>SUM(B6:D6)</f>
        <v/>
      </c>
      <c r="F6" s="102">
        <f>Costs!$E$34</f>
        <v/>
      </c>
      <c r="G6" s="106">
        <f>E6-F6</f>
        <v/>
      </c>
      <c r="H6" s="119">
        <f>IFERROR(E6/F6,"n/a")</f>
        <v/>
      </c>
      <c r="I6" s="106">
        <f>(B6-Costs!$B$34)/(1+Assumptions!$B$7)^1+(C6-Costs!$C$34)/(1+Assumptions!$B$7)^2+(D6-Costs!$D$34)/(1+Assumptions!$B$7)^3</f>
        <v/>
      </c>
      <c r="J6" s="132">
        <f>Payback!Q42</f>
        <v/>
      </c>
    </row>
    <row r="7" ht="15" customHeight="1" s="70">
      <c r="A7" s="108" t="inlineStr">
        <is>
          <t>Base — 4 fills/yr</t>
        </is>
      </c>
      <c r="B7" s="126">
        <f>Benefits!$G$12*Assumptions!$B$41</f>
        <v/>
      </c>
      <c r="C7" s="126">
        <f>Benefits!$G$12</f>
        <v/>
      </c>
      <c r="D7" s="126">
        <f>Benefits!$G$12</f>
        <v/>
      </c>
      <c r="E7" s="110">
        <f>SUM(B7:D7)</f>
        <v/>
      </c>
      <c r="F7" s="126">
        <f>Costs!$E$34</f>
        <v/>
      </c>
      <c r="G7" s="110">
        <f>E7-F7</f>
        <v/>
      </c>
      <c r="H7" s="121">
        <f>IFERROR(E7/F7,"n/a")</f>
        <v/>
      </c>
      <c r="I7" s="110">
        <f>(B7-Costs!$B$34)/(1+Assumptions!$B$7)^1+(C7-Costs!$C$34)/(1+Assumptions!$B$7)^2+(D7-Costs!$D$34)/(1+Assumptions!$B$7)^3</f>
        <v/>
      </c>
      <c r="J7" s="133">
        <f>Payback!R42</f>
        <v/>
      </c>
    </row>
    <row r="8" ht="15" customHeight="1" s="70">
      <c r="A8" s="81" t="inlineStr">
        <is>
          <t>Optimistic — 7 fills/yr</t>
        </is>
      </c>
      <c r="B8" s="102">
        <f>Benefits!$G$13*Assumptions!$B$41</f>
        <v/>
      </c>
      <c r="C8" s="102">
        <f>Benefits!$G$13</f>
        <v/>
      </c>
      <c r="D8" s="102">
        <f>Benefits!$G$13</f>
        <v/>
      </c>
      <c r="E8" s="106">
        <f>SUM(B8:D8)</f>
        <v/>
      </c>
      <c r="F8" s="102">
        <f>Costs!$E$34</f>
        <v/>
      </c>
      <c r="G8" s="106">
        <f>E8-F8</f>
        <v/>
      </c>
      <c r="H8" s="119">
        <f>IFERROR(E8/F8,"n/a")</f>
        <v/>
      </c>
      <c r="I8" s="106">
        <f>(B8-Costs!$B$34)/(1+Assumptions!$B$7)^1+(C8-Costs!$C$34)/(1+Assumptions!$B$7)^2+(D8-Costs!$D$34)/(1+Assumptions!$B$7)^3</f>
        <v/>
      </c>
      <c r="J8" s="132">
        <f>Payback!S42</f>
        <v/>
      </c>
    </row>
    <row r="9" ht="15" customHeight="1" s="70">
      <c r="A9" s="134" t="inlineStr">
        <is>
          <t>Base, retention excluded</t>
        </is>
      </c>
      <c r="B9" s="135">
        <f>Benefits!$G$14*Assumptions!$B$41</f>
        <v/>
      </c>
      <c r="C9" s="135">
        <f>Benefits!$G$14</f>
        <v/>
      </c>
      <c r="D9" s="135">
        <f>Benefits!$G$14</f>
        <v/>
      </c>
      <c r="E9" s="136">
        <f>SUM(B9:D9)</f>
        <v/>
      </c>
      <c r="F9" s="135">
        <f>Costs!$E$34</f>
        <v/>
      </c>
      <c r="G9" s="136">
        <f>E9-F9</f>
        <v/>
      </c>
      <c r="H9" s="137">
        <f>IFERROR(E9/F9,"n/a")</f>
        <v/>
      </c>
      <c r="I9" s="136">
        <f>(B9-Costs!$B$34)/(1+Assumptions!$B$7)^1+(C9-Costs!$C$34)/(1+Assumptions!$B$7)^2+(D9-Costs!$D$34)/(1+Assumptions!$B$7)^3</f>
        <v/>
      </c>
      <c r="J9" s="138">
        <f>Payback!T42</f>
        <v/>
      </c>
    </row>
    <row r="10" ht="15" customHeight="1" s="70">
      <c r="A10" s="128" t="inlineStr">
        <is>
          <t>Retention only, zero fills</t>
        </is>
      </c>
      <c r="B10" s="102">
        <f>Benefits!$G$15*Assumptions!$B$41</f>
        <v/>
      </c>
      <c r="C10" s="102">
        <f>Benefits!$G$15</f>
        <v/>
      </c>
      <c r="D10" s="102">
        <f>Benefits!$G$15</f>
        <v/>
      </c>
      <c r="E10" s="106">
        <f>SUM(B10:D10)</f>
        <v/>
      </c>
      <c r="F10" s="102">
        <f>Costs!$E$34</f>
        <v/>
      </c>
      <c r="G10" s="106">
        <f>E10-F10</f>
        <v/>
      </c>
      <c r="H10" s="119">
        <f>IFERROR(E10/F10,"n/a")</f>
        <v/>
      </c>
      <c r="I10" s="106">
        <f>(B10-Costs!$B$34)/(1+Assumptions!$B$7)^1+(C10-Costs!$C$34)/(1+Assumptions!$B$7)^2+(D10-Costs!$D$34)/(1+Assumptions!$B$7)^3</f>
        <v/>
      </c>
      <c r="J10" s="132">
        <f>Payback!U42</f>
        <v/>
      </c>
    </row>
    <row r="12" ht="16.5" customHeight="1" s="70">
      <c r="A12" s="73" t="inlineStr">
        <is>
          <t>READING THIS</t>
        </is>
      </c>
      <c r="B12" s="74" t="n"/>
      <c r="C12" s="74" t="n"/>
      <c r="D12" s="74" t="n"/>
      <c r="E12" s="74" t="n"/>
      <c r="F12" s="74" t="n"/>
      <c r="G12" s="74" t="n"/>
      <c r="H12" s="74" t="n"/>
      <c r="I12" s="74" t="n"/>
      <c r="J12" s="74" t="n"/>
    </row>
    <row r="13" ht="33.75" customHeight="1" s="70">
      <c r="A13" s="76" t="inlineStr">
        <is>
          <t>Read the retention-excluded row before quoting the base case. Pricing a fill at what TA actually spends — P113,522, not the old P350,000 — moves the weight of this case onto retention, which is roughly six-sevenths of the base-case benefit. Remove mass operations, refuse the vacancy-day credit, or lose attribution entirely and the ratio still clears 3. Remove retention and it does not. That is the one measurement worth designing properly before the build starts.</t>
        </is>
      </c>
    </row>
    <row r="15" ht="16.5" customHeight="1" s="70">
      <c r="A15" s="73" t="inlineStr">
        <is>
          <t>BREAK-EVEN</t>
        </is>
      </c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</row>
    <row r="16" ht="15" customHeight="1" s="70">
      <c r="A16" s="97" t="n"/>
      <c r="B16" s="98" t="inlineStr">
        <is>
          <t>Value</t>
        </is>
      </c>
      <c r="C16" s="98" t="n"/>
      <c r="D16" s="98" t="inlineStr">
        <is>
          <t>Method</t>
        </is>
      </c>
    </row>
    <row r="17" ht="30" customHeight="1" s="70">
      <c r="A17" s="81" t="inlineStr">
        <is>
          <t>Attributed fills per year to break even</t>
        </is>
      </c>
      <c r="B17" s="119">
        <f>IFERROR(Costs!$E$34/((1+1+Assumptions!$B$41)*(Assumptions!$B$34+Assumptions!$B$38*Benefits!$B$6)),"n/a")</f>
        <v/>
      </c>
      <c r="D17" s="84" t="inlineStr">
        <is>
          <t>Three-year cost ÷ (ramped years × value per attributed fill, P113,522). Retention excluded entirely — this is the fills-only bar.</t>
        </is>
      </c>
    </row>
    <row r="18" ht="15" customHeight="1" s="70">
      <c r="A18" s="81" t="inlineStr">
        <is>
          <t>As a share of ~60 internal requisitions a year</t>
        </is>
      </c>
      <c r="B18" s="139">
        <f>IFERROR(B17/60,"n/a")</f>
        <v/>
      </c>
    </row>
    <row r="19" ht="15" customHeight="1" s="70">
      <c r="A19" s="81" t="inlineStr">
        <is>
          <t>Years for retention alone to repay the cost</t>
        </is>
      </c>
      <c r="B19" s="120">
        <f>IF(Benefits!$B$7&lt;=0,"never",Costs!$E$34/Benefits!$B$7)</f>
        <v/>
      </c>
      <c r="D19" s="83" t="inlineStr">
        <is>
          <t>Three-year cost ÷ annual retention benefit. Assumes zero attributed fills.</t>
        </is>
      </c>
    </row>
  </sheetData>
  <mergeCells count="2">
    <mergeCell ref="D17:J17"/>
    <mergeCell ref="A13:J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6" customWidth="1" style="69" min="1" max="1"/>
    <col width="18" customWidth="1" style="69" min="2" max="3"/>
    <col width="62" customWidth="1" style="69" min="4" max="4"/>
  </cols>
  <sheetData>
    <row r="1" ht="21" customHeight="1" s="70">
      <c r="A1" s="71" t="inlineStr">
        <is>
          <t>Sensitivity</t>
        </is>
      </c>
    </row>
    <row r="2" ht="15" customHeight="1" s="70">
      <c r="A2" s="72" t="inlineStr">
        <is>
          <t>What moves the answer. Base case unless stated.</t>
        </is>
      </c>
    </row>
    <row r="4" ht="16.5" customHeight="1" s="70">
      <c r="A4" s="73" t="inlineStr">
        <is>
          <t>COST SENSITIVITIES</t>
        </is>
      </c>
      <c r="B4" s="74" t="n"/>
      <c r="C4" s="74" t="n"/>
      <c r="D4" s="74" t="n"/>
    </row>
    <row r="5" ht="15" customHeight="1" s="70">
      <c r="A5" s="97" t="inlineStr">
        <is>
          <t>Change</t>
        </is>
      </c>
      <c r="B5" s="98" t="inlineStr">
        <is>
          <t>3-year cost</t>
        </is>
      </c>
      <c r="C5" s="98" t="inlineStr">
        <is>
          <t>vs base</t>
        </is>
      </c>
      <c r="D5" s="98" t="inlineStr">
        <is>
          <t>Read</t>
        </is>
      </c>
    </row>
    <row r="6" ht="30" customHeight="1" s="70">
      <c r="A6" s="75" t="inlineStr">
        <is>
          <t>Base case — as modelled</t>
        </is>
      </c>
      <c r="B6" s="106">
        <f>Costs!$E$34</f>
        <v/>
      </c>
      <c r="C6" s="102">
        <f>B6-Costs!$E$34</f>
        <v/>
      </c>
      <c r="D6" s="84" t="inlineStr">
        <is>
          <t>The Costs sheet total.</t>
        </is>
      </c>
    </row>
    <row r="7" ht="30" customHeight="1" s="70">
      <c r="A7" s="81" t="inlineStr">
        <is>
          <t>Developer rate +25%</t>
        </is>
      </c>
      <c r="B7" s="102">
        <f>Costs!$E$34+(Assumptions!$B$18+Assumptions!$B$24)*Assumptions!$B$12*0.25*(1+Assumptions!$B$8)</f>
        <v/>
      </c>
      <c r="C7" s="102">
        <f>B7-Costs!$E$34</f>
        <v/>
      </c>
      <c r="D7" s="84" t="inlineStr">
        <is>
          <t>The single largest swing in the build. Validate against your own rate card first.</t>
        </is>
      </c>
    </row>
    <row r="8" ht="30" customHeight="1" s="70">
      <c r="A8" s="81" t="inlineStr">
        <is>
          <t>Build effort doubles</t>
        </is>
      </c>
      <c r="B8" s="102">
        <f>Costs!$E$34+(Costs!$D$12+Costs!$D$18)</f>
        <v/>
      </c>
      <c r="C8" s="102">
        <f>B8-Costs!$E$34</f>
        <v/>
      </c>
      <c r="D8" s="84" t="inlineStr">
        <is>
          <t>Still far below the external-platform bands. See Competition.</t>
        </is>
      </c>
    </row>
    <row r="9" ht="30" customHeight="1" s="70">
      <c r="A9" s="81" t="inlineStr">
        <is>
          <t>Exchange rate ₱65/US$</t>
        </is>
      </c>
      <c r="B9" s="102">
        <f>Costs!$E$34+(Assumptions!$B$27*12+0)*(65-Assumptions!$B$5)</f>
        <v/>
      </c>
      <c r="C9" s="102">
        <f>B9-Costs!$E$34</f>
        <v/>
      </c>
      <c r="D9" s="84" t="inlineStr">
        <is>
          <t>Only the US$-denominated run lines move. Vendor bands move proportionally, so the comparison is unchanged.</t>
        </is>
      </c>
    </row>
    <row r="10" ht="30" customHeight="1" s="70">
      <c r="A10" s="81" t="inlineStr">
        <is>
          <t>0.25 FTE internal ownership from year 2</t>
        </is>
      </c>
      <c r="B10" s="102">
        <f>Costs!$E$34+0.25*900000*2</f>
        <v/>
      </c>
      <c r="C10" s="102">
        <f>B10-Costs!$E$34</f>
        <v/>
      </c>
      <c r="D10" s="84" t="inlineStr">
        <is>
          <t>Excluded from the base case and material. The most under-estimated line in any build-versus-buy — include it before comparing.</t>
        </is>
      </c>
    </row>
    <row r="11" ht="30" customHeight="1" s="70">
      <c r="A11" s="81" t="inlineStr">
        <is>
          <t>Cancel the year-2 referral engine</t>
        </is>
      </c>
      <c r="B11" s="102">
        <f>Costs!$E$34-Costs!$D$18</f>
        <v/>
      </c>
      <c r="C11" s="102">
        <f>B11-Costs!$E$34</f>
        <v/>
      </c>
      <c r="D11" s="84" t="inlineStr">
        <is>
          <t>Only viable if referral volume never justifies it. Decide on year-one data.</t>
        </is>
      </c>
    </row>
    <row r="13" ht="16.5" customHeight="1" s="70">
      <c r="A13" s="73" t="inlineStr">
        <is>
          <t>BENEFIT SENSITIVITIES</t>
        </is>
      </c>
      <c r="B13" s="74" t="n"/>
      <c r="C13" s="74" t="n"/>
      <c r="D13" s="74" t="n"/>
    </row>
    <row r="14" ht="15" customHeight="1" s="70">
      <c r="A14" s="97" t="inlineStr">
        <is>
          <t>Change</t>
        </is>
      </c>
      <c r="B14" s="98" t="inlineStr">
        <is>
          <t>3-yr benefit</t>
        </is>
      </c>
      <c r="C14" s="98" t="inlineStr">
        <is>
          <t>BCR</t>
        </is>
      </c>
      <c r="D14" s="98" t="inlineStr">
        <is>
          <t>Read</t>
        </is>
      </c>
    </row>
    <row r="15" ht="30" customHeight="1" s="70">
      <c r="A15" s="75" t="inlineStr">
        <is>
          <t>Base case — as modelled</t>
        </is>
      </c>
      <c r="B15" s="106">
        <f>Benefits!$G$12*(2+Assumptions!$B$41)</f>
        <v/>
      </c>
      <c r="C15" s="120">
        <f>IFERROR(B15/Costs!$E$34,"n/a")</f>
        <v/>
      </c>
      <c r="D15" s="84" t="inlineStr">
        <is>
          <t>Both streams, base scenario.</t>
        </is>
      </c>
    </row>
    <row r="16" ht="30" customHeight="1" s="70">
      <c r="A16" s="81" t="inlineStr">
        <is>
          <t>Retention lift is zero</t>
        </is>
      </c>
      <c r="B16" s="102">
        <f>Benefits!$G$14*(2+Assumptions!$B$41)</f>
        <v/>
      </c>
      <c r="C16" s="120">
        <f>IFERROR(B16/Costs!$E$34,"n/a")</f>
        <v/>
      </c>
      <c r="D16" s="84" t="inlineStr">
        <is>
          <t>The softest input removed entirely. At the corrected P113,522 per fill this is where the case fails — the reason the retention holdout is now a gate.</t>
        </is>
      </c>
    </row>
    <row r="17" ht="30" customHeight="1" s="70">
      <c r="A17" s="81" t="inlineStr">
        <is>
          <t>No attributed fills at all</t>
        </is>
      </c>
      <c r="B17" s="102">
        <f>Benefits!$G$15*(2+Assumptions!$B$41)</f>
        <v/>
      </c>
      <c r="C17" s="120">
        <f>IFERROR(B17/Costs!$E$34,"n/a")</f>
        <v/>
      </c>
      <c r="D17" s="84" t="inlineStr">
        <is>
          <t>HC Connect declines the source field, or nobody clicks through. Retention alone carries it.</t>
        </is>
      </c>
    </row>
    <row r="18" ht="30" customHeight="1" s="70">
      <c r="A18" s="81" t="inlineStr">
        <is>
          <t>Participants halve to 60</t>
        </is>
      </c>
      <c r="B18" s="102">
        <f>(Benefits!$E$12+Assumptions!$B$39/2*Assumptions!$B$40*Benefits!$B$5)*(2+Assumptions!$B$41)</f>
        <v/>
      </c>
      <c r="C18" s="120">
        <f>IFERROR(B18/Costs!$E$34,"n/a")</f>
        <v/>
      </c>
      <c r="D18" s="84" t="inlineStr">
        <is>
          <t>Retention scales linearly with participation.</t>
        </is>
      </c>
    </row>
    <row r="19" ht="30" customHeight="1" s="70">
      <c r="A19" s="81" t="inlineStr">
        <is>
          <t>Hiring cost avoided only — no vacancy-day credit</t>
        </is>
      </c>
      <c r="B19" s="102">
        <f>(Benefits!$B$12*Assumptions!$B$34+Benefits!$B$7)*(2+Assumptions!$B$41)</f>
        <v/>
      </c>
      <c r="C19" s="120">
        <f>IFERROR(B19/Costs!$E$34,"n/a")</f>
        <v/>
      </c>
      <c r="D19" s="84" t="inlineStr">
        <is>
          <t>Treats the 37 vacancy days as unrecoverable. The harder floor on the attributed stream.</t>
        </is>
      </c>
    </row>
    <row r="21" ht="51.75" customHeight="1" s="70">
      <c r="A21" s="140" t="inlineStr">
        <is>
          <t>The two that actually decide this: whether the retention lift is real (it is a judgement here, and a holdout is the only way to settle it — promote a random half of open requisitions for a quarter and compare), and whether HC Connect adds the source field (without it only the owned stream is defensible).</t>
        </is>
      </c>
    </row>
  </sheetData>
  <mergeCells count="1"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2026-08-31T08:03:07Z</dcterms:created>
  <dcterms:modified xmlns:dcterms="http://purl.org/dc/terms/" xmlns:xsi="http://www.w3.org/2001/XMLSchema-instance" xsi:type="dcterms:W3CDTF">2026-09-11T06:43:46Z</dcterms:modified>
  <cp:revision>0</cp:revision>
</cp:coreProperties>
</file>