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 sheetId="1" state="visible" r:id="rId3"/>
    <sheet name="Assumptions" sheetId="2" state="visible" r:id="rId4"/>
    <sheet name="Costs" sheetId="3" state="visible" r:id="rId5"/>
    <sheet name="Competition" sheetId="4" state="visible" r:id="rId6"/>
    <sheet name="Benefits" sheetId="5" state="visible" r:id="rId7"/>
    <sheet name="Payback" sheetId="6" state="visible" r:id="rId8"/>
    <sheet name="CBA" sheetId="7" state="visible" r:id="rId9"/>
    <sheet name="Sensitivit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<sst xmlns="http://schemas.openxmlformats.org/spreadsheetml/2006/main" count="345" uniqueCount="290">
  <si>
    <t xml:space="preserve">Growth v2 — cost-benefit model</t>
  </si>
  <si>
    <t xml:space="preserve">Home Credit PH · 637 employees · 3-year horizon · prepared 31 August 2026</t>
  </si>
  <si>
    <t xml:space="preserve">HOW TO USE THIS WORKBOOK</t>
  </si>
  <si>
    <t xml:space="preserve">Change inputs here</t>
  </si>
  <si>
    <t xml:space="preserve">Assumptions is the only sheet you edit. Every other sheet is formulas that trace back to it.</t>
  </si>
  <si>
    <t xml:space="preserve">Blue text</t>
  </si>
  <si>
    <t xml:space="preserve">A hardcoded input. Change it.</t>
  </si>
  <si>
    <t xml:space="preserve">Yellow fill</t>
  </si>
  <si>
    <t xml:space="preserve">A key lever — the assumptions most likely to be challenged, and the ones that move the answer most.</t>
  </si>
  <si>
    <t xml:space="preserve">Black text</t>
  </si>
  <si>
    <t xml:space="preserve">A formula on the same sheet. Do not overwrite.</t>
  </si>
  <si>
    <t xml:space="preserve">Green text</t>
  </si>
  <si>
    <t xml:space="preserve">A formula pulling from another sheet. Do not overwrite.</t>
  </si>
  <si>
    <t xml:space="preserve">Recalculate</t>
  </si>
  <si>
    <t xml:space="preserve">The workbook recalculates on open. If your Excel is set to manual, press F9.</t>
  </si>
  <si>
    <t xml:space="preserve">SHEETS</t>
  </si>
  <si>
    <t xml:space="preserve">Assumptions</t>
  </si>
  <si>
    <t xml:space="preserve">Every input, grouped. The only sheet with hardcoded numbers.</t>
  </si>
  <si>
    <t xml:space="preserve">Costs</t>
  </si>
  <si>
    <t xml:space="preserve">Build and run, by year. Three-year total cost of ownership.</t>
  </si>
  <si>
    <t xml:space="preserve">Competition</t>
  </si>
  <si>
    <t xml:space="preserve">v2-lean against the external-platform bands, and the break-even each option implies.</t>
  </si>
  <si>
    <t xml:space="preserve">Benefits</t>
  </si>
  <si>
    <t xml:space="preserve">Two streams — attributed (needs a confirmed referral) and owned (needs no attribution) — across three scenarios.</t>
  </si>
  <si>
    <t xml:space="preserve">CBA</t>
  </si>
  <si>
    <t xml:space="preserve">Net, benefit-cost ratio, NPV and payback per scenario, including two stress cases.</t>
  </si>
  <si>
    <t xml:space="preserve">Payback</t>
  </si>
  <si>
    <t xml:space="preserve">The month-by-month cashflow behind the payback figures on CBA.</t>
  </si>
  <si>
    <t xml:space="preserve">Sensitivity</t>
  </si>
  <si>
    <t xml:space="preserve">What moves the answer, and by how much.</t>
  </si>
  <si>
    <t xml:space="preserve">WHAT THIS MODEL DOES NOT CLAIM</t>
  </si>
  <si>
    <t xml:space="preserve">•</t>
  </si>
  <si>
    <t xml:space="preserve">Vendor pricing is an RFP planning band derived from how enterprise HR SaaS is structured. It is NOT a quote — none of these vendors publish per-seat pricing. Replace the Competition sheet with real numbers before deciding.</t>
  </si>
  <si>
    <t xml:space="preserve">The retention lift is a judgement, not a measurement. The v1 dashboard shows 94% retention among participants against 81% company-wide; that 13-point gap is almost certainly selection bias, so it is discounted to 3 points here. The CBA sheet reports the case with this stream removed entirely, because it is the softest input in the model.</t>
  </si>
  <si>
    <t xml:space="preserve">Attributed benefits require HC Connect to add a "Growth Marketplace" source value. That commitment does not yet exist. Without it, only the owned stream is defensible.</t>
  </si>
  <si>
    <t xml:space="preserve">Build effort is a top-down planning estimate. docs/BRD_V2.md carries a bottom-up worksheet for IT; their figure is the authoritative one.</t>
  </si>
  <si>
    <t xml:space="preserve">Blue = input, edit freely. Yellow = key lever. Sources noted at right.</t>
  </si>
  <si>
    <t xml:space="preserve">GLOBAL</t>
  </si>
  <si>
    <t xml:space="preserve">Exchange rate</t>
  </si>
  <si>
    <t xml:space="preserve">₱ / US$1</t>
  </si>
  <si>
    <t xml:space="preserve">Verify before circulating. A 10% move shifts every peso figure by 10%.</t>
  </si>
  <si>
    <t xml:space="preserve">Population</t>
  </si>
  <si>
    <t xml:space="preserve">people</t>
  </si>
  <si>
    <t xml:space="preserve">Employees in scope for release 1.</t>
  </si>
  <si>
    <t xml:space="preserve">Discount rate</t>
  </si>
  <si>
    <t xml:space="preserve">per year</t>
  </si>
  <si>
    <t xml:space="preserve">Corporate hurdle rate. Applied to net annual flows in the NPV.</t>
  </si>
  <si>
    <t xml:space="preserve">Contingency on build</t>
  </si>
  <si>
    <t xml:space="preserve">Applied to build subtotals only, not to run costs.</t>
  </si>
  <si>
    <t xml:space="preserve">Horizon</t>
  </si>
  <si>
    <t xml:space="preserve">years</t>
  </si>
  <si>
    <t xml:space="preserve">Years. Changing this does not extend the sheets; it is recorded for reference.</t>
  </si>
  <si>
    <t xml:space="preserve">LABOUR RATES — fully loaded</t>
  </si>
  <si>
    <t xml:space="preserve">Full-stack developer</t>
  </si>
  <si>
    <t xml:space="preserve">₱ / month</t>
  </si>
  <si>
    <t xml:space="preserve">Planning rate at Philippine market. Validate against your own rate card — this drives the whole build estimate.</t>
  </si>
  <si>
    <t xml:space="preserve">Designer</t>
  </si>
  <si>
    <t xml:space="preserve">PM / BA</t>
  </si>
  <si>
    <t xml:space="preserve">PCD analyst</t>
  </si>
  <si>
    <t xml:space="preserve">₱ / hour</t>
  </si>
  <si>
    <t xml:space="preserve">₱60,000 per month ÷ 160 hours. Used for the reconciliation line only.</t>
  </si>
  <si>
    <t xml:space="preserve">BUILD EFFORT — v2-lean</t>
  </si>
  <si>
    <t xml:space="preserve">Developer, year 1</t>
  </si>
  <si>
    <t xml:space="preserve">months</t>
  </si>
  <si>
    <t xml:space="preserve">Board, matching, JD reader, handoff. Net of lever B (Supabase-native) and lever A (referral engine deferred to year 2).</t>
  </si>
  <si>
    <t xml:space="preserve">Designer, year 1</t>
  </si>
  <si>
    <t xml:space="preserve">Reduced from 2.5 by reusing the v1 design system already built in the prototype.</t>
  </si>
  <si>
    <t xml:space="preserve">Designer allocation</t>
  </si>
  <si>
    <t xml:space="preserve">PM / BA, year 1</t>
  </si>
  <si>
    <t xml:space="preserve">Includes coordination with recruitment on the HC Connect source field.</t>
  </si>
  <si>
    <t xml:space="preserve">PM / BA allocation</t>
  </si>
  <si>
    <t xml:space="preserve">Security review, DPA assessment, referral-log DPIA</t>
  </si>
  <si>
    <t xml:space="preserve">₱</t>
  </si>
  <si>
    <t xml:space="preserve">Raised from v1 by ₱40,000 for the referral-log DPIA. Non-negotiable — it is a launch gate.</t>
  </si>
  <si>
    <t xml:space="preserve">Developer, year 2 — deferred referral engine</t>
  </si>
  <si>
    <t xml:space="preserve">Lever A. Build in Q1 instead if a budget review falls inside the first quarter.</t>
  </si>
  <si>
    <t xml:space="preserve">ANNUAL RUN</t>
  </si>
  <si>
    <t xml:space="preserve">Supabase Pro + Auth</t>
  </si>
  <si>
    <t xml:space="preserve">US$ / month</t>
  </si>
  <si>
    <t xml:space="preserve">Converted at the exchange rate above.</t>
  </si>
  <si>
    <t xml:space="preserve">Claude API — Sonnet 5, batched</t>
  </si>
  <si>
    <t xml:space="preserve">₱ / year</t>
  </si>
  <si>
    <t xml:space="preserve">7,686 scoring pairs/month at 1,500 in / 250 out tokens, Batch API at 50% of list. See docs/v2-costing-model.py.</t>
  </si>
  <si>
    <t xml:space="preserve">Transactional email</t>
  </si>
  <si>
    <t xml:space="preserve">Includes the "did you apply?" nudge — the cheapest line here and the one that converts a click into a countable application.</t>
  </si>
  <si>
    <t xml:space="preserve">Monitoring and logging</t>
  </si>
  <si>
    <t xml:space="preserve">Reconciliation effort</t>
  </si>
  <si>
    <t xml:space="preserve">hours / quarter</t>
  </si>
  <si>
    <t xml:space="preserve">Quarterly, not monthly. Year 2 onward — year 1 has no referral engine to reconcile.</t>
  </si>
  <si>
    <t xml:space="preserve">BENEFITS</t>
  </si>
  <si>
    <t xml:space="preserve">Avoided agency fee per internal fill</t>
  </si>
  <si>
    <t xml:space="preserve">From the v1 business case.</t>
  </si>
  <si>
    <t xml:space="preserve">Loaded annual salary, population average</t>
  </si>
  <si>
    <t xml:space="preserve">Planning assumption. Validate against payroll.</t>
  </si>
  <si>
    <t xml:space="preserve">Replacement cost, as % of salary</t>
  </si>
  <si>
    <t xml:space="preserve">Recruitment + ramp + lost output.</t>
  </si>
  <si>
    <t xml:space="preserve">Working days per year</t>
  </si>
  <si>
    <t xml:space="preserve">days</t>
  </si>
  <si>
    <t xml:space="preserve">Vacancy days saved per internal fill</t>
  </si>
  <si>
    <t xml:space="preserve">21 days to fill internally against 58 externally.</t>
  </si>
  <si>
    <t xml:space="preserve">Gig / DJI / service-offer participants</t>
  </si>
  <si>
    <t xml:space="preserve">19% of the population. Scales the retention benefit linearly.</t>
  </si>
  <si>
    <t xml:space="preserve">Retention lift among participants</t>
  </si>
  <si>
    <t xml:space="preserve">points</t>
  </si>
  <si>
    <t xml:space="preserve">JUDGEMENT, NOT MEASUREMENT. Observed gap is 13 points (94% vs 81%) and is almost certainly selection bias. Discounted hard. The CBA sheet also reports the case with this set to zero.</t>
  </si>
  <si>
    <t xml:space="preserve">Year-1 benefit ramp</t>
  </si>
  <si>
    <t xml:space="preserve">Benefits accrue for part of year 1 only, during build and adoption.</t>
  </si>
  <si>
    <t xml:space="preserve">SCENARIOS — attributed vacancy hires per year</t>
  </si>
  <si>
    <t xml:space="preserve">Conservative</t>
  </si>
  <si>
    <t xml:space="preserve">hires / year</t>
  </si>
  <si>
    <t xml:space="preserve">Base</t>
  </si>
  <si>
    <t xml:space="preserve">Roughly one internal fill in fifteen of the ~60 internal requisitions opened a year.</t>
  </si>
  <si>
    <t xml:space="preserve">Optimistic</t>
  </si>
  <si>
    <t xml:space="preserve">EXTERNAL PLATFORM — RFP planning bands, NOT quotes</t>
  </si>
  <si>
    <t xml:space="preserve">Annual licence — low</t>
  </si>
  <si>
    <t xml:space="preserve">US$ / year</t>
  </si>
  <si>
    <t xml:space="preserve">At 637 seats the binding constraint is the vendor minimum contract value, not the per-seat rate.</t>
  </si>
  <si>
    <t xml:space="preserve">Annual licence — high</t>
  </si>
  <si>
    <t xml:space="preserve">Implementation — low</t>
  </si>
  <si>
    <t xml:space="preserve">US$</t>
  </si>
  <si>
    <t xml:space="preserve">One-off.</t>
  </si>
  <si>
    <t xml:space="preserve">Implementation — high</t>
  </si>
  <si>
    <t xml:space="preserve">HRIS + SSO integration services — low</t>
  </si>
  <si>
    <t xml:space="preserve">HRIS + SSO integration services — high</t>
  </si>
  <si>
    <t xml:space="preserve">Source: derived from how enterprise HR SaaS is typically structured. Gloat, Fuel50, Eightfold and Workday Talent Marketplace do not publish per-seat pricing. Do not present these as vendor figures.</t>
  </si>
  <si>
    <t xml:space="preserve">Costs — v2-lean</t>
  </si>
  <si>
    <t xml:space="preserve">Build front-loaded, run flat. Every figure formula-linked to Assumptions.</t>
  </si>
  <si>
    <t xml:space="preserve">BUILD — YEAR 1</t>
  </si>
  <si>
    <t xml:space="preserve">Item</t>
  </si>
  <si>
    <t xml:space="preserve">Months</t>
  </si>
  <si>
    <t xml:space="preserve">Rate (₱/month)</t>
  </si>
  <si>
    <t xml:space="preserve">Cost (₱)</t>
  </si>
  <si>
    <t xml:space="preserve">Full-stack developer — board, matching, JD reader, handoff</t>
  </si>
  <si>
    <t xml:space="preserve">Designer — reuses the v1 design system</t>
  </si>
  <si>
    <t xml:space="preserve">PM / BA — incl. recruitment coordination on the source field</t>
  </si>
  <si>
    <t xml:space="preserve">Security review + DPA assessment + referral-log DPIA</t>
  </si>
  <si>
    <t xml:space="preserve">Subtotal</t>
  </si>
  <si>
    <t xml:space="preserve">Contingency</t>
  </si>
  <si>
    <t xml:space="preserve">BUILD, YEAR 1</t>
  </si>
  <si>
    <t xml:space="preserve">BUILD — YEAR 2 (deferred referral engine, lever A)</t>
  </si>
  <si>
    <t xml:space="preserve">Full-stack developer — referral engine + attribution reporting</t>
  </si>
  <si>
    <t xml:space="preserve">BUILD, YEAR 2</t>
  </si>
  <si>
    <t xml:space="preserve">Year 1 (₱)</t>
  </si>
  <si>
    <t xml:space="preserve">Year 2+ (₱)</t>
  </si>
  <si>
    <t xml:space="preserve">Transactional email, incl. the nudge</t>
  </si>
  <si>
    <t xml:space="preserve">Reconciliation — quarterly, PCD analyst</t>
  </si>
  <si>
    <t xml:space="preserve">Note: year 1 has no referral engine to reconcile — lever A defers it to year 2.</t>
  </si>
  <si>
    <t xml:space="preserve">RUN, PER YEAR</t>
  </si>
  <si>
    <t xml:space="preserve">THREE-YEAR TOTAL COST OF OWNERSHIP</t>
  </si>
  <si>
    <t xml:space="preserve">Year 1</t>
  </si>
  <si>
    <t xml:space="preserve">Year 2</t>
  </si>
  <si>
    <t xml:space="preserve">Year 3</t>
  </si>
  <si>
    <t xml:space="preserve">3-year total</t>
  </si>
  <si>
    <t xml:space="preserve">Build</t>
  </si>
  <si>
    <t xml:space="preserve">Run</t>
  </si>
  <si>
    <t xml:space="preserve">TOTAL (₱)</t>
  </si>
  <si>
    <t xml:space="preserve">TOTAL (US$)</t>
  </si>
  <si>
    <t xml:space="preserve">Per employee, 3 years</t>
  </si>
  <si>
    <t xml:space="preserve">Per employee, per year</t>
  </si>
  <si>
    <t xml:space="preserve">v2-lean against buying a platform</t>
  </si>
  <si>
    <t xml:space="preserve">Bands are RFP planning estimates, NOT quotes. No vendor here publishes per-seat pricing.</t>
  </si>
  <si>
    <t xml:space="preserve">EXTERNAL PLATFORM — Gloat, Fuel50, Eightfold, Workday</t>
  </si>
  <si>
    <t xml:space="preserve">US$ low</t>
  </si>
  <si>
    <t xml:space="preserve">US$ high</t>
  </si>
  <si>
    <t xml:space="preserve">₱ low</t>
  </si>
  <si>
    <t xml:space="preserve">₱ high</t>
  </si>
  <si>
    <t xml:space="preserve">Year 1 — licence + implementation + integration</t>
  </si>
  <si>
    <t xml:space="preserve">Year 2 — licence only</t>
  </si>
  <si>
    <t xml:space="preserve">Year 3 — licence only</t>
  </si>
  <si>
    <t xml:space="preserve">THREE-YEAR TOTAL</t>
  </si>
  <si>
    <t xml:space="preserve">v2-LEAN — BUILD IN-HOUSE</t>
  </si>
  <si>
    <t xml:space="preserve">THE COMPARISON</t>
  </si>
  <si>
    <t xml:space="preserve">Against the low band</t>
  </si>
  <si>
    <t xml:space="preserve">Against the high band</t>
  </si>
  <si>
    <t xml:space="preserve">How many times more expensive buying is</t>
  </si>
  <si>
    <t xml:space="preserve">Three-year cost difference</t>
  </si>
  <si>
    <t xml:space="preserve">BREAK-EVEN — attributed internal hires needed over three years</t>
  </si>
  <si>
    <t xml:space="preserve">The framing that lands in a decision forum: how many internal hires each option must attract just to cover its own cost, at the avoided agency fee on Assumptions.</t>
  </si>
  <si>
    <t xml:space="preserve">Hires over 3 years</t>
  </si>
  <si>
    <t xml:space="preserve">Per year</t>
  </si>
  <si>
    <t xml:space="preserve">External platform — low band</t>
  </si>
  <si>
    <t xml:space="preserve">External platform — high band</t>
  </si>
  <si>
    <t xml:space="preserve">v2-lean</t>
  </si>
  <si>
    <t xml:space="preserve">What buying gets you that this model does not price: a maintained skills ontology, pre-built HRIS and SSO connectors, SOC 2 / ISO 27001, a contractual support SLA, cross-company benchmarking, and a product roadmap. In-house, each of those is yours to build and keep building. The comparison above is cost only.</t>
  </si>
  <si>
    <t xml:space="preserve">Two streams. They are not equally defensible — see the provenance column.</t>
  </si>
  <si>
    <t xml:space="preserve">DERIVED RATES</t>
  </si>
  <si>
    <t xml:space="preserve">Replacement cost per person</t>
  </si>
  <si>
    <t xml:space="preserve">Loaded salary × replacement %</t>
  </si>
  <si>
    <t xml:space="preserve">Cost of one vacant day</t>
  </si>
  <si>
    <t xml:space="preserve">Loaded salary ÷ working days</t>
  </si>
  <si>
    <t xml:space="preserve">Retention benefit per year</t>
  </si>
  <si>
    <t xml:space="preserve">Participants × retention lift × replacement cost</t>
  </si>
  <si>
    <t xml:space="preserve">BY SCENARIO — annual, at steady state</t>
  </si>
  <si>
    <t xml:space="preserve">Scenario</t>
  </si>
  <si>
    <t xml:space="preserve">Hires/yr</t>
  </si>
  <si>
    <t xml:space="preserve">Agency fees (₱)</t>
  </si>
  <si>
    <t xml:space="preserve">Vacancy days (₱)</t>
  </si>
  <si>
    <t xml:space="preserve">ATTRIBUTED (₱)</t>
  </si>
  <si>
    <t xml:space="preserve">OWNED (₱)</t>
  </si>
  <si>
    <t xml:space="preserve">What it depends on</t>
  </si>
  <si>
    <t xml:space="preserve">Confirmed referrals in HC Connect</t>
  </si>
  <si>
    <t xml:space="preserve">Base — retention excluded</t>
  </si>
  <si>
    <t xml:space="preserve">Stress case: the softest input set to zero</t>
  </si>
  <si>
    <t xml:space="preserve">Retention only — zero hires</t>
  </si>
  <si>
    <t xml:space="preserve">Stress case: no vacancy hires at all</t>
  </si>
  <si>
    <t xml:space="preserve">HOW MUCH EACH STREAM IS WORTH AS EVIDENCE</t>
  </si>
  <si>
    <t xml:space="preserve">ATTRIBUTED</t>
  </si>
  <si>
    <t xml:space="preserve">Avoided agency fees and vacancy days on permanent roles. Exists ONLY because of the referral tracking — without a confirmed referral the hire is invisible in our data and belongs, as far as anyone can tell, to HC Connect. Requires HC Connect to add a "Growth Marketplace" source value; that commitment does not yet exist.</t>
  </si>
  <si>
    <t xml:space="preserve">OWNED</t>
  </si>
  <si>
    <t xml:space="preserve">Retention among gig, DJI and service-offer participants. Needs no attribution, because the marketplace runs those end to end. But the 3-point lift is a discounted judgement, not a measurement — see the stress rows above and the Legend sheet.</t>
  </si>
  <si>
    <t xml:space="preserve">EXCLUDED</t>
  </si>
  <si>
    <t xml:space="preserve">The value of gig output itself, skills built, and cross-functional network effects. All real, none reliably measurable, none needed to make the case.</t>
  </si>
  <si>
    <t xml:space="preserve">Payback — monthly cashflow</t>
  </si>
  <si>
    <t xml:space="preserve">Build lands in months 1–3 of its year; benefits start in month 4. Feeds the CBA sheet.</t>
  </si>
  <si>
    <t xml:space="preserve">Month</t>
  </si>
  <si>
    <t xml:space="preserve">Year</t>
  </si>
  <si>
    <t xml:space="preserve">Build (₱)</t>
  </si>
  <si>
    <t xml:space="preserve">Run (₱)</t>
  </si>
  <si>
    <t xml:space="preserve">Cum cost (₱)</t>
  </si>
  <si>
    <t xml:space="preserve">Conservative (₱)</t>
  </si>
  <si>
    <t xml:space="preserve">Base (₱)</t>
  </si>
  <si>
    <t xml:space="preserve">Optimistic (₱)</t>
  </si>
  <si>
    <t xml:space="preserve">Base no ret. (₱)</t>
  </si>
  <si>
    <t xml:space="preserve">Retention only (₱)</t>
  </si>
  <si>
    <t xml:space="preserve">Cum Conservative (₱)</t>
  </si>
  <si>
    <t xml:space="preserve">Cum Base (₱)</t>
  </si>
  <si>
    <t xml:space="preserve">Cum Optimistic (₱)</t>
  </si>
  <si>
    <t xml:space="preserve">Cum Base no ret. (₱)</t>
  </si>
  <si>
    <t xml:space="preserve">Cum Retention only (₱)</t>
  </si>
  <si>
    <t xml:space="preserve">Hit Conservative</t>
  </si>
  <si>
    <t xml:space="preserve">Hit Base</t>
  </si>
  <si>
    <t xml:space="preserve">Hit Optimistic</t>
  </si>
  <si>
    <t xml:space="preserve">Hit Base no ret.</t>
  </si>
  <si>
    <t xml:space="preserve">Hit Retention only</t>
  </si>
  <si>
    <t xml:space="preserve">Payback month</t>
  </si>
  <si>
    <t xml:space="preserve">Cost-benefit analysis</t>
  </si>
  <si>
    <t xml:space="preserve">Three years, discounted at the rate on Assumptions. Year-1 benefit ramped for build and adoption.</t>
  </si>
  <si>
    <t xml:space="preserve">THE CASE</t>
  </si>
  <si>
    <t xml:space="preserve">Y1 benefit</t>
  </si>
  <si>
    <t xml:space="preserve">Y2 benefit</t>
  </si>
  <si>
    <t xml:space="preserve">Y3 benefit</t>
  </si>
  <si>
    <t xml:space="preserve">3-yr benefit</t>
  </si>
  <si>
    <t xml:space="preserve">3-yr cost</t>
  </si>
  <si>
    <t xml:space="preserve">Net</t>
  </si>
  <si>
    <t xml:space="preserve">BCR</t>
  </si>
  <si>
    <t xml:space="preserve">NPV</t>
  </si>
  <si>
    <t xml:space="preserve">Conservative — 2 hires/yr</t>
  </si>
  <si>
    <t xml:space="preserve">Base — 4 hires/yr</t>
  </si>
  <si>
    <t xml:space="preserve">Optimistic — 7 hires/yr</t>
  </si>
  <si>
    <t xml:space="preserve">Base, retention excluded</t>
  </si>
  <si>
    <t xml:space="preserve">Retention only, zero hires</t>
  </si>
  <si>
    <t xml:space="preserve">READING THIS</t>
  </si>
  <si>
    <t xml:space="preserve">The case survives the removal of either benefit stream. Strip retention out — the softest input in the model — and the ratio holds well above 1. Strip out every vacancy hire instead, and retention alone still repays the cost inside the horizon. Both halves would have to be wrong at the same time for this to fail.</t>
  </si>
  <si>
    <t xml:space="preserve">BREAK-EVEN</t>
  </si>
  <si>
    <t xml:space="preserve">Value</t>
  </si>
  <si>
    <t xml:space="preserve">Method</t>
  </si>
  <si>
    <t xml:space="preserve">Attributed hires per year to break even</t>
  </si>
  <si>
    <t xml:space="preserve">Three-year cost ÷ (ramped years × value per attributed hire). Retention excluded entirely — this is the hires-only bar.</t>
  </si>
  <si>
    <t xml:space="preserve">As a share of ~60 internal requisitions a year</t>
  </si>
  <si>
    <t xml:space="preserve">Years for retention alone to repay the cost</t>
  </si>
  <si>
    <t xml:space="preserve">Three-year cost ÷ annual retention benefit. Assumes zero attributed vacancy hires.</t>
  </si>
  <si>
    <t xml:space="preserve">What moves the answer. Base case unless stated.</t>
  </si>
  <si>
    <t xml:space="preserve">COST SENSITIVITIES</t>
  </si>
  <si>
    <t xml:space="preserve">Change</t>
  </si>
  <si>
    <t xml:space="preserve">3-year cost</t>
  </si>
  <si>
    <t xml:space="preserve">vs base</t>
  </si>
  <si>
    <t xml:space="preserve">Read</t>
  </si>
  <si>
    <t xml:space="preserve">Base case — as modelled</t>
  </si>
  <si>
    <t xml:space="preserve">The Costs sheet total.</t>
  </si>
  <si>
    <t xml:space="preserve">Developer rate +25%</t>
  </si>
  <si>
    <t xml:space="preserve">The single largest swing in the build. Validate against your own rate card first.</t>
  </si>
  <si>
    <t xml:space="preserve">Build effort doubles</t>
  </si>
  <si>
    <t xml:space="preserve">Still far below the external-platform bands. See Competition.</t>
  </si>
  <si>
    <t xml:space="preserve">Exchange rate ₱65/US$</t>
  </si>
  <si>
    <t xml:space="preserve">Only the US$-denominated run lines move. Vendor bands move proportionally, so the comparison is unchanged.</t>
  </si>
  <si>
    <t xml:space="preserve">0.25 FTE internal ownership from year 2</t>
  </si>
  <si>
    <t xml:space="preserve">Excluded from the base case and material. The most under-estimated line in any build-versus-buy — include it before comparing.</t>
  </si>
  <si>
    <t xml:space="preserve">Cancel the year-2 referral engine</t>
  </si>
  <si>
    <t xml:space="preserve">Only viable if referral volume never justifies it. Decide on year-one data.</t>
  </si>
  <si>
    <t xml:space="preserve">BENEFIT SENSITIVITIES</t>
  </si>
  <si>
    <t xml:space="preserve">Both streams, base scenario.</t>
  </si>
  <si>
    <t xml:space="preserve">Retention lift is zero</t>
  </si>
  <si>
    <t xml:space="preserve">The softest input removed entirely. The case still clears comfortably.</t>
  </si>
  <si>
    <t xml:space="preserve">No attributed hires at all</t>
  </si>
  <si>
    <t xml:space="preserve">HC Connect declines the source field, or nobody clicks through. Retention alone carries it.</t>
  </si>
  <si>
    <t xml:space="preserve">Participants halve to 60</t>
  </si>
  <si>
    <t xml:space="preserve">Retention scales linearly with participation.</t>
  </si>
  <si>
    <t xml:space="preserve">Agency fee is ₱250,000, not ₱350,000</t>
  </si>
  <si>
    <t xml:space="preserve">Validate the avoided-fee assumption with recruitment.</t>
  </si>
  <si>
    <t xml:space="preserve">The two that actually decide this: whether HC Connect adds the source field (without it only the owned stream is defensible), and whether the retention lift is real (it is a judgement here, and a holdout is the only way to settle it — promote a random half of open requisitions for a quarter and compare).</t>
  </si>
</sst>
</file>

<file path=xl/styles.xml><?xml version="1.0" encoding="utf-8"?>
<styleSheet xmlns="http://schemas.openxmlformats.org/spreadsheetml/2006/main">
  <numFmts count="10">
    <numFmt numFmtId="164" formatCode="General"/>
    <numFmt numFmtId="165" formatCode="#,##0"/>
    <numFmt numFmtId="166" formatCode="#,##0;\(#,##0\);\-"/>
    <numFmt numFmtId="167" formatCode="0.0%"/>
    <numFmt numFmtId="168" formatCode="\₱#,##0;&quot;(₱&quot;#,##0\);\-"/>
    <numFmt numFmtId="169" formatCode="#,##0.0"/>
    <numFmt numFmtId="170" formatCode="\$#,##0;&quot;($&quot;#,##0\);\-"/>
    <numFmt numFmtId="171" formatCode="0.0\x"/>
    <numFmt numFmtId="172" formatCode="\₱#,##0.00;&quot;(₱&quot;#,##0.00\);\-"/>
    <numFmt numFmtId="173" formatCode="0&quot; mo&quot;"/>
  </numFmts>
  <fonts count="19">
    <font>
      <sz val="11"/>
      <color theme="1"/>
      <name val="Calibri"/>
      <family val="2"/>
      <charset val="1"/>
    </font>
    <font>
      <sz val="10"/>
      <name val="Arial"/>
      <family val="0"/>
    </font>
    <font>
      <sz val="10"/>
      <name val="Arial"/>
      <family val="0"/>
    </font>
    <font>
      <sz val="10"/>
      <name val="Arial"/>
      <family val="0"/>
    </font>
    <font>
      <b val="true"/>
      <sz val="15"/>
      <color rgb="FF1F2937"/>
      <name val="Arial"/>
      <family val="0"/>
      <charset val="1"/>
    </font>
    <font>
      <i val="true"/>
      <sz val="9.5"/>
      <color rgb="FF6B7280"/>
      <name val="Arial"/>
      <family val="0"/>
      <charset val="1"/>
    </font>
    <font>
      <b val="true"/>
      <sz val="9.5"/>
      <color rgb="FFFFFFFF"/>
      <name val="Arial"/>
      <family val="0"/>
      <charset val="1"/>
    </font>
    <font>
      <b val="true"/>
      <sz val="10"/>
      <color rgb="FF1F2937"/>
      <name val="Arial"/>
      <family val="0"/>
      <charset val="1"/>
    </font>
    <font>
      <sz val="10"/>
      <color rgb="FF1F2937"/>
      <name val="Arial"/>
      <family val="0"/>
      <charset val="1"/>
    </font>
    <font>
      <b val="true"/>
      <sz val="10"/>
      <color rgb="FF0000FF"/>
      <name val="Arial"/>
      <family val="0"/>
      <charset val="1"/>
    </font>
    <font>
      <b val="true"/>
      <sz val="10"/>
      <color rgb="FF008000"/>
      <name val="Arial"/>
      <family val="0"/>
      <charset val="1"/>
    </font>
    <font>
      <sz val="10"/>
      <color rgb="FF0000FF"/>
      <name val="Arial"/>
      <family val="0"/>
      <charset val="1"/>
    </font>
    <font>
      <sz val="9"/>
      <color rgb="FF6B7280"/>
      <name val="Arial"/>
      <family val="0"/>
      <charset val="1"/>
    </font>
    <font>
      <i val="true"/>
      <sz val="9"/>
      <color rgb="FF991B1B"/>
      <name val="Arial"/>
      <family val="0"/>
      <charset val="1"/>
    </font>
    <font>
      <b val="true"/>
      <sz val="9.5"/>
      <color rgb="FF1F2937"/>
      <name val="Arial"/>
      <family val="0"/>
      <charset val="1"/>
    </font>
    <font>
      <sz val="10"/>
      <color rgb="FF008000"/>
      <name val="Arial"/>
      <family val="0"/>
      <charset val="1"/>
    </font>
    <font>
      <i val="true"/>
      <sz val="9"/>
      <color rgb="FF6B7280"/>
      <name val="Arial"/>
      <family val="0"/>
      <charset val="1"/>
    </font>
    <font>
      <i val="true"/>
      <sz val="10"/>
      <color rgb="FF1F2937"/>
      <name val="Arial"/>
      <family val="0"/>
      <charset val="1"/>
    </font>
    <font>
      <i val="true"/>
      <sz val="9.5"/>
      <color rgb="FF1F2937"/>
      <name val="Arial"/>
      <family val="0"/>
      <charset val="1"/>
    </font>
  </fonts>
  <fills count="5">
    <fill>
      <patternFill patternType="none"/>
    </fill>
    <fill>
      <patternFill patternType="gray125"/>
    </fill>
    <fill>
      <patternFill patternType="solid">
        <fgColor rgb="FF0F172A"/>
        <bgColor rgb="FF1F2937"/>
      </patternFill>
    </fill>
    <fill>
      <patternFill patternType="solid">
        <fgColor rgb="FFFFFF00"/>
        <bgColor rgb="FFFFFF00"/>
      </patternFill>
    </fill>
    <fill>
      <patternFill patternType="solid">
        <fgColor rgb="FFF1F5F9"/>
        <bgColor rgb="FFFFFFFF"/>
      </patternFill>
    </fill>
  </fills>
  <borders count="3">
    <border diagonalUp="false" diagonalDown="false">
      <left/>
      <right/>
      <top/>
      <bottom/>
      <diagonal/>
    </border>
    <border diagonalUp="false" diagonalDown="false">
      <left/>
      <right/>
      <top/>
      <bottom style="thin">
        <color rgb="FFD1D5DB"/>
      </bottom>
      <diagonal/>
    </border>
    <border diagonalUp="false" diagonalDown="false">
      <left/>
      <right/>
      <top style="thin">
        <color rgb="FFD1D5DB"/>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false" indent="0" shrinkToFit="false"/>
      <protection locked="true" hidden="false"/>
    </xf>
    <xf numFmtId="167" fontId="11" fillId="3" borderId="0" xfId="0" applyFont="tru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8" fontId="11" fillId="3" borderId="0" xfId="0" applyFont="true" applyBorder="false" applyAlignment="true" applyProtection="true">
      <alignment horizontal="general" vertical="bottom" textRotation="0" wrapText="fals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9" fontId="11" fillId="3"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0" fontId="11" fillId="0" borderId="0" xfId="0" applyFont="true" applyBorder="false" applyAlignment="true" applyProtection="true">
      <alignment horizontal="general" vertical="bottom" textRotation="0" wrapText="false" indent="0" shrinkToFit="false"/>
      <protection locked="true" hidden="false"/>
    </xf>
    <xf numFmtId="166" fontId="11" fillId="3"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true" indent="0" shrinkToFit="false"/>
      <protection locked="true" hidden="false"/>
    </xf>
    <xf numFmtId="164" fontId="14" fillId="4" borderId="1" xfId="0" applyFont="true" applyBorder="true" applyAlignment="true" applyProtection="true">
      <alignment horizontal="left" vertical="bottom" textRotation="0" wrapText="true" indent="0" shrinkToFit="false"/>
      <protection locked="true" hidden="false"/>
    </xf>
    <xf numFmtId="164" fontId="14" fillId="4" borderId="1" xfId="0" applyFont="true" applyBorder="true" applyAlignment="true" applyProtection="true">
      <alignment horizontal="right" vertical="bottom" textRotation="0" wrapText="true" indent="0" shrinkToFit="false"/>
      <protection locked="true" hidden="false"/>
    </xf>
    <xf numFmtId="169"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8" fontId="7"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8" fontId="7"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7" fillId="0" borderId="0" xfId="0"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70" fontId="7" fillId="4" borderId="0" xfId="0" applyFont="true" applyBorder="false" applyAlignment="true" applyProtection="true">
      <alignment horizontal="general" vertical="bottom" textRotation="0" wrapText="false" indent="0" shrinkToFit="false"/>
      <protection locked="true" hidden="false"/>
    </xf>
    <xf numFmtId="170"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71" fontId="7"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7" fillId="4" borderId="0" xfId="0" applyFont="true" applyBorder="false" applyAlignment="true" applyProtection="true">
      <alignment horizontal="general" vertical="bottom" textRotation="0" wrapText="false" indent="0" shrinkToFit="false"/>
      <protection locked="true" hidden="false"/>
    </xf>
    <xf numFmtId="169" fontId="8" fillId="4" borderId="0" xfId="0" applyFont="true" applyBorder="fals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6" fontId="15" fillId="4" borderId="0" xfId="0" applyFont="true" applyBorder="false" applyAlignment="true" applyProtection="true">
      <alignment horizontal="general" vertical="bottom" textRotation="0" wrapText="false" indent="0" shrinkToFit="false"/>
      <protection locked="true" hidden="false"/>
    </xf>
    <xf numFmtId="168" fontId="8" fillId="4" borderId="0" xfId="0" applyFont="true" applyBorder="false" applyAlignment="true" applyProtection="true">
      <alignment horizontal="general" vertical="bottom" textRotation="0" wrapText="false" indent="0" shrinkToFit="false"/>
      <protection locked="true" hidden="false"/>
    </xf>
    <xf numFmtId="164" fontId="12" fillId="4"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bottom" textRotation="0" wrapText="tru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73" fontId="15" fillId="0" borderId="0" xfId="0" applyFont="true" applyBorder="false" applyAlignment="true" applyProtection="true">
      <alignment horizontal="general" vertical="bottom" textRotation="0" wrapText="false" indent="0" shrinkToFit="false"/>
      <protection locked="true" hidden="false"/>
    </xf>
    <xf numFmtId="173" fontId="15" fillId="4" borderId="0" xfId="0" applyFont="true" applyBorder="false" applyAlignment="true" applyProtection="true">
      <alignment horizontal="general" vertical="bottom" textRotation="0" wrapText="false" indent="0" shrinkToFit="false"/>
      <protection locked="true" hidden="false"/>
    </xf>
    <xf numFmtId="164" fontId="17" fillId="0" borderId="2" xfId="0" applyFont="true" applyBorder="true" applyAlignment="true" applyProtection="true">
      <alignment horizontal="general" vertical="bottom" textRotation="0" wrapText="false" indent="0" shrinkToFit="false"/>
      <protection locked="true" hidden="false"/>
    </xf>
    <xf numFmtId="168" fontId="8" fillId="0" borderId="2" xfId="0" applyFont="true" applyBorder="true" applyAlignment="true" applyProtection="true">
      <alignment horizontal="general" vertical="bottom" textRotation="0" wrapText="false" indent="0" shrinkToFit="false"/>
      <protection locked="true" hidden="false"/>
    </xf>
    <xf numFmtId="168" fontId="7" fillId="0" borderId="2" xfId="0" applyFont="true" applyBorder="true" applyAlignment="true" applyProtection="true">
      <alignment horizontal="general" vertical="bottom" textRotation="0" wrapText="false" indent="0" shrinkToFit="false"/>
      <protection locked="true" hidden="false"/>
    </xf>
    <xf numFmtId="169" fontId="7" fillId="0" borderId="2" xfId="0" applyFont="true" applyBorder="true" applyAlignment="true" applyProtection="true">
      <alignment horizontal="general" vertical="bottom" textRotation="0" wrapText="false" indent="0" shrinkToFit="false"/>
      <protection locked="true" hidden="false"/>
    </xf>
    <xf numFmtId="173" fontId="15" fillId="0" borderId="2"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1F5F9"/>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F172A"/>
      <rgbColor rgb="FF333300"/>
      <rgbColor rgb="FF991B1B"/>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6"/>
  </cols>
  <sheetData>
    <row r="1" customFormat="false" ht="21" hidden="false" customHeight="true" outlineLevel="0" collapsed="false">
      <c r="A1" s="2" t="s">
        <v>0</v>
      </c>
    </row>
    <row r="2" customFormat="false" ht="15" hidden="false" customHeight="false" outlineLevel="0" collapsed="false">
      <c r="A2" s="3" t="s">
        <v>1</v>
      </c>
    </row>
    <row r="4" customFormat="false" ht="16.5" hidden="false" customHeight="true" outlineLevel="0" collapsed="false">
      <c r="A4" s="4" t="s">
        <v>2</v>
      </c>
      <c r="B4" s="5"/>
    </row>
    <row r="6" customFormat="false" ht="15" hidden="false" customHeight="false" outlineLevel="0" collapsed="false">
      <c r="A6" s="6" t="s">
        <v>3</v>
      </c>
      <c r="B6" s="7" t="s">
        <v>4</v>
      </c>
    </row>
    <row r="7" customFormat="false" ht="15" hidden="false" customHeight="false" outlineLevel="0" collapsed="false">
      <c r="A7" s="8" t="s">
        <v>5</v>
      </c>
      <c r="B7" s="7" t="s">
        <v>6</v>
      </c>
    </row>
    <row r="8" customFormat="false" ht="15" hidden="false" customHeight="false" outlineLevel="0" collapsed="false">
      <c r="A8" s="9" t="s">
        <v>7</v>
      </c>
      <c r="B8" s="7" t="s">
        <v>8</v>
      </c>
    </row>
    <row r="9" customFormat="false" ht="15" hidden="false" customHeight="false" outlineLevel="0" collapsed="false">
      <c r="A9" s="6" t="s">
        <v>9</v>
      </c>
      <c r="B9" s="7" t="s">
        <v>10</v>
      </c>
    </row>
    <row r="10" customFormat="false" ht="15" hidden="false" customHeight="false" outlineLevel="0" collapsed="false">
      <c r="A10" s="10" t="s">
        <v>11</v>
      </c>
      <c r="B10" s="7" t="s">
        <v>12</v>
      </c>
    </row>
    <row r="11" customFormat="false" ht="15" hidden="false" customHeight="false" outlineLevel="0" collapsed="false">
      <c r="A11" s="6" t="s">
        <v>13</v>
      </c>
      <c r="B11" s="7" t="s">
        <v>14</v>
      </c>
    </row>
    <row r="13" customFormat="false" ht="16.5" hidden="false" customHeight="true" outlineLevel="0" collapsed="false">
      <c r="A13" s="4" t="s">
        <v>15</v>
      </c>
      <c r="B13" s="5"/>
    </row>
    <row r="15" customFormat="false" ht="15" hidden="false" customHeight="false" outlineLevel="0" collapsed="false">
      <c r="A15" s="6" t="s">
        <v>16</v>
      </c>
      <c r="B15" s="7" t="s">
        <v>17</v>
      </c>
    </row>
    <row r="16" customFormat="false" ht="15" hidden="false" customHeight="false" outlineLevel="0" collapsed="false">
      <c r="A16" s="6" t="s">
        <v>18</v>
      </c>
      <c r="B16" s="7" t="s">
        <v>19</v>
      </c>
    </row>
    <row r="17" customFormat="false" ht="15" hidden="false" customHeight="false" outlineLevel="0" collapsed="false">
      <c r="A17" s="6" t="s">
        <v>20</v>
      </c>
      <c r="B17" s="7" t="s">
        <v>21</v>
      </c>
    </row>
    <row r="18" customFormat="false" ht="15" hidden="false" customHeight="false" outlineLevel="0" collapsed="false">
      <c r="A18" s="6" t="s">
        <v>22</v>
      </c>
      <c r="B18" s="7" t="s">
        <v>23</v>
      </c>
    </row>
    <row r="19" customFormat="false" ht="15" hidden="false" customHeight="false" outlineLevel="0" collapsed="false">
      <c r="A19" s="6" t="s">
        <v>24</v>
      </c>
      <c r="B19" s="7" t="s">
        <v>25</v>
      </c>
    </row>
    <row r="20" customFormat="false" ht="15" hidden="false" customHeight="false" outlineLevel="0" collapsed="false">
      <c r="A20" s="6" t="s">
        <v>26</v>
      </c>
      <c r="B20" s="7" t="s">
        <v>27</v>
      </c>
    </row>
    <row r="21" customFormat="false" ht="15" hidden="false" customHeight="false" outlineLevel="0" collapsed="false">
      <c r="A21" s="6" t="s">
        <v>28</v>
      </c>
      <c r="B21" s="7" t="s">
        <v>29</v>
      </c>
    </row>
    <row r="23" customFormat="false" ht="16.5" hidden="false" customHeight="true" outlineLevel="0" collapsed="false">
      <c r="A23" s="4" t="s">
        <v>30</v>
      </c>
      <c r="B23" s="5"/>
    </row>
    <row r="25" customFormat="false" ht="48" hidden="false" customHeight="true" outlineLevel="0" collapsed="false">
      <c r="A25" s="11" t="s">
        <v>31</v>
      </c>
      <c r="B25" s="7" t="s">
        <v>32</v>
      </c>
    </row>
    <row r="26" customFormat="false" ht="61.5" hidden="false" customHeight="true" outlineLevel="0" collapsed="false">
      <c r="A26" s="11" t="s">
        <v>31</v>
      </c>
      <c r="B26" s="7" t="s">
        <v>33</v>
      </c>
    </row>
    <row r="27" customFormat="false" ht="33.75" hidden="false" customHeight="true" outlineLevel="0" collapsed="false">
      <c r="A27" s="11" t="s">
        <v>31</v>
      </c>
      <c r="B27" s="7" t="s">
        <v>34</v>
      </c>
    </row>
    <row r="28" customFormat="false" ht="33.75" hidden="false" customHeight="true" outlineLevel="0" collapsed="false">
      <c r="A28" s="11" t="s">
        <v>31</v>
      </c>
      <c r="B28" s="7" t="s">
        <v>35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5"/>
    <col collapsed="false" customWidth="true" hidden="false" outlineLevel="0" max="3" min="3" style="1" width="10"/>
    <col collapsed="false" customWidth="true" hidden="false" outlineLevel="0" max="4" min="4" style="1" width="74"/>
  </cols>
  <sheetData>
    <row r="1" customFormat="false" ht="21" hidden="false" customHeight="true" outlineLevel="0" collapsed="false">
      <c r="A1" s="2" t="s">
        <v>16</v>
      </c>
    </row>
    <row r="2" customFormat="false" ht="15" hidden="false" customHeight="false" outlineLevel="0" collapsed="false">
      <c r="A2" s="3" t="s">
        <v>36</v>
      </c>
    </row>
    <row r="4" customFormat="false" ht="16.5" hidden="false" customHeight="true" outlineLevel="0" collapsed="false">
      <c r="A4" s="4" t="s">
        <v>37</v>
      </c>
      <c r="B4" s="5"/>
      <c r="C4" s="5"/>
      <c r="D4" s="5"/>
    </row>
    <row r="5" customFormat="false" ht="15" hidden="false" customHeight="false" outlineLevel="0" collapsed="false">
      <c r="A5" s="12" t="s">
        <v>38</v>
      </c>
      <c r="B5" s="13" t="n">
        <v>58</v>
      </c>
      <c r="C5" s="14" t="s">
        <v>39</v>
      </c>
      <c r="D5" s="15" t="s">
        <v>40</v>
      </c>
    </row>
    <row r="6" customFormat="false" ht="15" hidden="false" customHeight="false" outlineLevel="0" collapsed="false">
      <c r="A6" s="12" t="s">
        <v>41</v>
      </c>
      <c r="B6" s="16" t="n">
        <v>637</v>
      </c>
      <c r="C6" s="14" t="s">
        <v>42</v>
      </c>
      <c r="D6" s="15" t="s">
        <v>43</v>
      </c>
    </row>
    <row r="7" customFormat="false" ht="15" hidden="false" customHeight="false" outlineLevel="0" collapsed="false">
      <c r="A7" s="12" t="s">
        <v>44</v>
      </c>
      <c r="B7" s="17" t="n">
        <v>0.1</v>
      </c>
      <c r="C7" s="14" t="s">
        <v>45</v>
      </c>
      <c r="D7" s="15" t="s">
        <v>46</v>
      </c>
    </row>
    <row r="8" customFormat="false" ht="15" hidden="false" customHeight="false" outlineLevel="0" collapsed="false">
      <c r="A8" s="12" t="s">
        <v>47</v>
      </c>
      <c r="B8" s="18" t="n">
        <v>0.2</v>
      </c>
      <c r="D8" s="15" t="s">
        <v>48</v>
      </c>
    </row>
    <row r="9" customFormat="false" ht="15" hidden="false" customHeight="false" outlineLevel="0" collapsed="false">
      <c r="A9" s="12" t="s">
        <v>49</v>
      </c>
      <c r="B9" s="19" t="n">
        <v>3</v>
      </c>
      <c r="C9" s="14" t="s">
        <v>50</v>
      </c>
      <c r="D9" s="15" t="s">
        <v>51</v>
      </c>
    </row>
    <row r="11" customFormat="false" ht="16.5" hidden="false" customHeight="true" outlineLevel="0" collapsed="false">
      <c r="A11" s="4" t="s">
        <v>52</v>
      </c>
      <c r="B11" s="5"/>
      <c r="C11" s="5"/>
      <c r="D11" s="5"/>
    </row>
    <row r="12" customFormat="false" ht="15" hidden="false" customHeight="false" outlineLevel="0" collapsed="false">
      <c r="A12" s="12" t="s">
        <v>53</v>
      </c>
      <c r="B12" s="20" t="n">
        <v>150000</v>
      </c>
      <c r="C12" s="14" t="s">
        <v>54</v>
      </c>
      <c r="D12" s="15" t="s">
        <v>55</v>
      </c>
    </row>
    <row r="13" customFormat="false" ht="15" hidden="false" customHeight="false" outlineLevel="0" collapsed="false">
      <c r="A13" s="12" t="s">
        <v>56</v>
      </c>
      <c r="B13" s="21" t="n">
        <v>110000</v>
      </c>
      <c r="C13" s="14" t="s">
        <v>54</v>
      </c>
    </row>
    <row r="14" customFormat="false" ht="15" hidden="false" customHeight="false" outlineLevel="0" collapsed="false">
      <c r="A14" s="12" t="s">
        <v>57</v>
      </c>
      <c r="B14" s="21" t="n">
        <v>150000</v>
      </c>
      <c r="C14" s="14" t="s">
        <v>54</v>
      </c>
    </row>
    <row r="15" customFormat="false" ht="15" hidden="false" customHeight="false" outlineLevel="0" collapsed="false">
      <c r="A15" s="12" t="s">
        <v>58</v>
      </c>
      <c r="B15" s="21" t="n">
        <v>375</v>
      </c>
      <c r="C15" s="14" t="s">
        <v>59</v>
      </c>
      <c r="D15" s="15" t="s">
        <v>60</v>
      </c>
    </row>
    <row r="17" customFormat="false" ht="16.5" hidden="false" customHeight="true" outlineLevel="0" collapsed="false">
      <c r="A17" s="4" t="s">
        <v>61</v>
      </c>
      <c r="B17" s="5"/>
      <c r="C17" s="5"/>
      <c r="D17" s="5"/>
    </row>
    <row r="18" customFormat="false" ht="15" hidden="false" customHeight="false" outlineLevel="0" collapsed="false">
      <c r="A18" s="12" t="s">
        <v>62</v>
      </c>
      <c r="B18" s="22" t="n">
        <v>1.4</v>
      </c>
      <c r="C18" s="14" t="s">
        <v>63</v>
      </c>
      <c r="D18" s="15" t="s">
        <v>64</v>
      </c>
    </row>
    <row r="19" customFormat="false" ht="15" hidden="false" customHeight="false" outlineLevel="0" collapsed="false">
      <c r="A19" s="12" t="s">
        <v>65</v>
      </c>
      <c r="B19" s="23" t="n">
        <v>1.5</v>
      </c>
      <c r="C19" s="14" t="s">
        <v>63</v>
      </c>
      <c r="D19" s="15" t="s">
        <v>66</v>
      </c>
    </row>
    <row r="20" customFormat="false" ht="15" hidden="false" customHeight="false" outlineLevel="0" collapsed="false">
      <c r="A20" s="12" t="s">
        <v>67</v>
      </c>
      <c r="B20" s="18" t="n">
        <v>0.5</v>
      </c>
    </row>
    <row r="21" customFormat="false" ht="15" hidden="false" customHeight="false" outlineLevel="0" collapsed="false">
      <c r="A21" s="12" t="s">
        <v>68</v>
      </c>
      <c r="B21" s="23" t="n">
        <v>4</v>
      </c>
      <c r="C21" s="14" t="s">
        <v>63</v>
      </c>
      <c r="D21" s="15" t="s">
        <v>69</v>
      </c>
    </row>
    <row r="22" customFormat="false" ht="15" hidden="false" customHeight="false" outlineLevel="0" collapsed="false">
      <c r="A22" s="12" t="s">
        <v>70</v>
      </c>
      <c r="B22" s="18" t="n">
        <v>0.3</v>
      </c>
    </row>
    <row r="23" customFormat="false" ht="15" hidden="false" customHeight="false" outlineLevel="0" collapsed="false">
      <c r="A23" s="12" t="s">
        <v>71</v>
      </c>
      <c r="B23" s="21" t="n">
        <v>120000</v>
      </c>
      <c r="C23" s="14" t="s">
        <v>72</v>
      </c>
      <c r="D23" s="15" t="s">
        <v>73</v>
      </c>
    </row>
    <row r="24" customFormat="false" ht="15" hidden="false" customHeight="false" outlineLevel="0" collapsed="false">
      <c r="A24" s="12" t="s">
        <v>74</v>
      </c>
      <c r="B24" s="23" t="n">
        <v>0.9</v>
      </c>
      <c r="C24" s="14" t="s">
        <v>63</v>
      </c>
      <c r="D24" s="15" t="s">
        <v>75</v>
      </c>
    </row>
    <row r="26" customFormat="false" ht="16.5" hidden="false" customHeight="true" outlineLevel="0" collapsed="false">
      <c r="A26" s="4" t="s">
        <v>76</v>
      </c>
      <c r="B26" s="5"/>
      <c r="C26" s="5"/>
      <c r="D26" s="5"/>
    </row>
    <row r="27" customFormat="false" ht="15" hidden="false" customHeight="false" outlineLevel="0" collapsed="false">
      <c r="A27" s="12" t="s">
        <v>77</v>
      </c>
      <c r="B27" s="24" t="n">
        <v>25</v>
      </c>
      <c r="C27" s="14" t="s">
        <v>78</v>
      </c>
      <c r="D27" s="15" t="s">
        <v>79</v>
      </c>
    </row>
    <row r="28" customFormat="false" ht="15" hidden="false" customHeight="false" outlineLevel="0" collapsed="false">
      <c r="A28" s="12" t="s">
        <v>80</v>
      </c>
      <c r="B28" s="21" t="n">
        <v>22065</v>
      </c>
      <c r="C28" s="14" t="s">
        <v>81</v>
      </c>
      <c r="D28" s="15" t="s">
        <v>82</v>
      </c>
    </row>
    <row r="29" customFormat="false" ht="15" hidden="false" customHeight="false" outlineLevel="0" collapsed="false">
      <c r="A29" s="12" t="s">
        <v>83</v>
      </c>
      <c r="B29" s="21" t="n">
        <v>8700</v>
      </c>
      <c r="C29" s="14" t="s">
        <v>81</v>
      </c>
      <c r="D29" s="15" t="s">
        <v>84</v>
      </c>
    </row>
    <row r="30" customFormat="false" ht="15" hidden="false" customHeight="false" outlineLevel="0" collapsed="false">
      <c r="A30" s="12" t="s">
        <v>85</v>
      </c>
      <c r="B30" s="21" t="n">
        <v>6960</v>
      </c>
      <c r="C30" s="14" t="s">
        <v>81</v>
      </c>
    </row>
    <row r="31" customFormat="false" ht="15" hidden="false" customHeight="false" outlineLevel="0" collapsed="false">
      <c r="A31" s="12" t="s">
        <v>86</v>
      </c>
      <c r="B31" s="23" t="n">
        <v>4</v>
      </c>
      <c r="C31" s="14" t="s">
        <v>87</v>
      </c>
      <c r="D31" s="15" t="s">
        <v>88</v>
      </c>
    </row>
    <row r="33" customFormat="false" ht="16.5" hidden="false" customHeight="true" outlineLevel="0" collapsed="false">
      <c r="A33" s="4" t="s">
        <v>89</v>
      </c>
      <c r="B33" s="5"/>
      <c r="C33" s="5"/>
      <c r="D33" s="5"/>
    </row>
    <row r="34" customFormat="false" ht="15" hidden="false" customHeight="false" outlineLevel="0" collapsed="false">
      <c r="A34" s="12" t="s">
        <v>90</v>
      </c>
      <c r="B34" s="20" t="n">
        <v>350000</v>
      </c>
      <c r="C34" s="14" t="s">
        <v>72</v>
      </c>
      <c r="D34" s="15" t="s">
        <v>91</v>
      </c>
    </row>
    <row r="35" customFormat="false" ht="15" hidden="false" customHeight="false" outlineLevel="0" collapsed="false">
      <c r="A35" s="12" t="s">
        <v>92</v>
      </c>
      <c r="B35" s="21" t="n">
        <v>480000</v>
      </c>
      <c r="C35" s="14" t="s">
        <v>72</v>
      </c>
      <c r="D35" s="15" t="s">
        <v>93</v>
      </c>
    </row>
    <row r="36" customFormat="false" ht="15" hidden="false" customHeight="false" outlineLevel="0" collapsed="false">
      <c r="A36" s="12" t="s">
        <v>94</v>
      </c>
      <c r="B36" s="18" t="n">
        <v>0.75</v>
      </c>
      <c r="D36" s="15" t="s">
        <v>95</v>
      </c>
    </row>
    <row r="37" customFormat="false" ht="15" hidden="false" customHeight="false" outlineLevel="0" collapsed="false">
      <c r="A37" s="12" t="s">
        <v>96</v>
      </c>
      <c r="B37" s="16" t="n">
        <v>260</v>
      </c>
      <c r="C37" s="14" t="s">
        <v>97</v>
      </c>
    </row>
    <row r="38" customFormat="false" ht="15" hidden="false" customHeight="false" outlineLevel="0" collapsed="false">
      <c r="A38" s="12" t="s">
        <v>98</v>
      </c>
      <c r="B38" s="16" t="n">
        <v>37</v>
      </c>
      <c r="C38" s="14" t="s">
        <v>97</v>
      </c>
      <c r="D38" s="15" t="s">
        <v>99</v>
      </c>
    </row>
    <row r="39" customFormat="false" ht="15" hidden="false" customHeight="false" outlineLevel="0" collapsed="false">
      <c r="A39" s="12" t="s">
        <v>100</v>
      </c>
      <c r="B39" s="25" t="n">
        <v>120</v>
      </c>
      <c r="C39" s="14" t="s">
        <v>45</v>
      </c>
      <c r="D39" s="15" t="s">
        <v>101</v>
      </c>
    </row>
    <row r="40" customFormat="false" ht="22.35" hidden="false" customHeight="false" outlineLevel="0" collapsed="false">
      <c r="A40" s="12" t="s">
        <v>102</v>
      </c>
      <c r="B40" s="17" t="n">
        <v>0.03</v>
      </c>
      <c r="C40" s="14" t="s">
        <v>103</v>
      </c>
      <c r="D40" s="15" t="s">
        <v>104</v>
      </c>
    </row>
    <row r="41" customFormat="false" ht="15" hidden="false" customHeight="false" outlineLevel="0" collapsed="false">
      <c r="A41" s="12" t="s">
        <v>105</v>
      </c>
      <c r="B41" s="18" t="n">
        <v>0.4</v>
      </c>
      <c r="D41" s="15" t="s">
        <v>106</v>
      </c>
    </row>
    <row r="43" customFormat="false" ht="16.5" hidden="false" customHeight="true" outlineLevel="0" collapsed="false">
      <c r="A43" s="4" t="s">
        <v>107</v>
      </c>
      <c r="B43" s="5"/>
      <c r="C43" s="5"/>
      <c r="D43" s="5"/>
    </row>
    <row r="44" customFormat="false" ht="15" hidden="false" customHeight="false" outlineLevel="0" collapsed="false">
      <c r="A44" s="12" t="s">
        <v>108</v>
      </c>
      <c r="B44" s="16" t="n">
        <v>2</v>
      </c>
      <c r="C44" s="14" t="s">
        <v>109</v>
      </c>
    </row>
    <row r="45" customFormat="false" ht="15" hidden="false" customHeight="false" outlineLevel="0" collapsed="false">
      <c r="A45" s="12" t="s">
        <v>110</v>
      </c>
      <c r="B45" s="25" t="n">
        <v>4</v>
      </c>
      <c r="C45" s="14" t="s">
        <v>109</v>
      </c>
      <c r="D45" s="15" t="s">
        <v>111</v>
      </c>
    </row>
    <row r="46" customFormat="false" ht="15" hidden="false" customHeight="false" outlineLevel="0" collapsed="false">
      <c r="A46" s="12" t="s">
        <v>112</v>
      </c>
      <c r="B46" s="16" t="n">
        <v>7</v>
      </c>
      <c r="C46" s="14" t="s">
        <v>109</v>
      </c>
    </row>
    <row r="48" customFormat="false" ht="16.5" hidden="false" customHeight="true" outlineLevel="0" collapsed="false">
      <c r="A48" s="4" t="s">
        <v>113</v>
      </c>
      <c r="B48" s="5"/>
      <c r="C48" s="5"/>
      <c r="D48" s="5"/>
    </row>
    <row r="49" customFormat="false" ht="15" hidden="false" customHeight="false" outlineLevel="0" collapsed="false">
      <c r="A49" s="12" t="s">
        <v>114</v>
      </c>
      <c r="B49" s="24" t="n">
        <v>50000</v>
      </c>
      <c r="C49" s="14" t="s">
        <v>115</v>
      </c>
      <c r="D49" s="15" t="s">
        <v>116</v>
      </c>
    </row>
    <row r="50" customFormat="false" ht="15" hidden="false" customHeight="false" outlineLevel="0" collapsed="false">
      <c r="A50" s="12" t="s">
        <v>117</v>
      </c>
      <c r="B50" s="24" t="n">
        <v>120000</v>
      </c>
      <c r="C50" s="14" t="s">
        <v>115</v>
      </c>
    </row>
    <row r="51" customFormat="false" ht="15" hidden="false" customHeight="false" outlineLevel="0" collapsed="false">
      <c r="A51" s="12" t="s">
        <v>118</v>
      </c>
      <c r="B51" s="24" t="n">
        <v>25000</v>
      </c>
      <c r="C51" s="14" t="s">
        <v>119</v>
      </c>
      <c r="D51" s="15" t="s">
        <v>120</v>
      </c>
    </row>
    <row r="52" customFormat="false" ht="15" hidden="false" customHeight="false" outlineLevel="0" collapsed="false">
      <c r="A52" s="12" t="s">
        <v>121</v>
      </c>
      <c r="B52" s="24" t="n">
        <v>100000</v>
      </c>
      <c r="C52" s="14" t="s">
        <v>119</v>
      </c>
      <c r="D52" s="15" t="s">
        <v>120</v>
      </c>
    </row>
    <row r="53" customFormat="false" ht="15" hidden="false" customHeight="false" outlineLevel="0" collapsed="false">
      <c r="A53" s="12" t="s">
        <v>122</v>
      </c>
      <c r="B53" s="24" t="n">
        <v>0</v>
      </c>
      <c r="C53" s="14" t="s">
        <v>119</v>
      </c>
      <c r="D53" s="15" t="s">
        <v>120</v>
      </c>
    </row>
    <row r="54" customFormat="false" ht="15" hidden="false" customHeight="false" outlineLevel="0" collapsed="false">
      <c r="A54" s="12" t="s">
        <v>123</v>
      </c>
      <c r="B54" s="24" t="n">
        <v>20000</v>
      </c>
      <c r="C54" s="14" t="s">
        <v>119</v>
      </c>
      <c r="D54" s="15" t="s">
        <v>120</v>
      </c>
    </row>
    <row r="56" customFormat="false" ht="33.75" hidden="false" customHeight="true" outlineLevel="0" collapsed="false">
      <c r="A56" s="26" t="s">
        <v>124</v>
      </c>
      <c r="B56" s="26"/>
      <c r="C56" s="26"/>
      <c r="D56" s="26"/>
    </row>
  </sheetData>
  <mergeCells count="1">
    <mergeCell ref="A56:D5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3" min="2" style="1" width="14"/>
    <col collapsed="false" customWidth="true" hidden="false" outlineLevel="0" max="5" min="4" style="1" width="15"/>
  </cols>
  <sheetData>
    <row r="1" customFormat="false" ht="21" hidden="false" customHeight="true" outlineLevel="0" collapsed="false">
      <c r="A1" s="2" t="s">
        <v>125</v>
      </c>
    </row>
    <row r="2" customFormat="false" ht="15" hidden="false" customHeight="false" outlineLevel="0" collapsed="false">
      <c r="A2" s="3" t="s">
        <v>126</v>
      </c>
    </row>
    <row r="4" customFormat="false" ht="16.5" hidden="false" customHeight="true" outlineLevel="0" collapsed="false">
      <c r="A4" s="4" t="s">
        <v>127</v>
      </c>
      <c r="B4" s="5"/>
      <c r="C4" s="5"/>
      <c r="D4" s="5"/>
      <c r="E4" s="5"/>
    </row>
    <row r="5" customFormat="false" ht="15" hidden="false" customHeight="false" outlineLevel="0" collapsed="false">
      <c r="A5" s="27" t="s">
        <v>128</v>
      </c>
      <c r="B5" s="28" t="s">
        <v>129</v>
      </c>
      <c r="C5" s="28" t="s">
        <v>130</v>
      </c>
      <c r="D5" s="28" t="s">
        <v>131</v>
      </c>
    </row>
    <row r="6" customFormat="false" ht="15" hidden="false" customHeight="false" outlineLevel="0" collapsed="false">
      <c r="A6" s="12" t="s">
        <v>132</v>
      </c>
      <c r="B6" s="29" t="n">
        <f aca="false">Assumptions!$B$18</f>
        <v>1.4</v>
      </c>
      <c r="C6" s="30" t="n">
        <f aca="false">Assumptions!$B$12</f>
        <v>150000</v>
      </c>
      <c r="D6" s="31" t="n">
        <f aca="false">B6*C6</f>
        <v>210000</v>
      </c>
    </row>
    <row r="7" customFormat="false" ht="15" hidden="false" customHeight="false" outlineLevel="0" collapsed="false">
      <c r="A7" s="12" t="s">
        <v>133</v>
      </c>
      <c r="B7" s="29" t="n">
        <f aca="false">Assumptions!$B$19*Assumptions!$B$20</f>
        <v>0.75</v>
      </c>
      <c r="C7" s="30" t="n">
        <f aca="false">Assumptions!$B$13</f>
        <v>110000</v>
      </c>
      <c r="D7" s="31" t="n">
        <f aca="false">B7*C7</f>
        <v>82500</v>
      </c>
    </row>
    <row r="8" customFormat="false" ht="15" hidden="false" customHeight="false" outlineLevel="0" collapsed="false">
      <c r="A8" s="12" t="s">
        <v>134</v>
      </c>
      <c r="B8" s="29" t="n">
        <f aca="false">Assumptions!$B$21*Assumptions!$B$22</f>
        <v>1.2</v>
      </c>
      <c r="C8" s="30" t="n">
        <f aca="false">Assumptions!$B$14</f>
        <v>150000</v>
      </c>
      <c r="D8" s="31" t="n">
        <f aca="false">B8*C8</f>
        <v>180000</v>
      </c>
    </row>
    <row r="9" customFormat="false" ht="15" hidden="false" customHeight="false" outlineLevel="0" collapsed="false">
      <c r="A9" s="12" t="s">
        <v>135</v>
      </c>
      <c r="D9" s="30" t="n">
        <f aca="false">Assumptions!$B$23</f>
        <v>120000</v>
      </c>
    </row>
    <row r="10" customFormat="false" ht="15" hidden="false" customHeight="false" outlineLevel="0" collapsed="false">
      <c r="A10" s="6" t="s">
        <v>136</v>
      </c>
      <c r="D10" s="32" t="n">
        <f aca="false">SUM(D6:D9)</f>
        <v>592500</v>
      </c>
    </row>
    <row r="11" customFormat="false" ht="15" hidden="false" customHeight="false" outlineLevel="0" collapsed="false">
      <c r="A11" s="12" t="s">
        <v>137</v>
      </c>
      <c r="C11" s="33" t="n">
        <f aca="false">Assumptions!$B$8</f>
        <v>0.2</v>
      </c>
      <c r="D11" s="31" t="n">
        <f aca="false">D10*C11</f>
        <v>118500</v>
      </c>
    </row>
    <row r="12" customFormat="false" ht="15" hidden="false" customHeight="false" outlineLevel="0" collapsed="false">
      <c r="A12" s="34" t="s">
        <v>138</v>
      </c>
      <c r="B12" s="35"/>
      <c r="C12" s="35"/>
      <c r="D12" s="36" t="n">
        <f aca="false">D10+D11</f>
        <v>711000</v>
      </c>
    </row>
    <row r="14" customFormat="false" ht="16.5" hidden="false" customHeight="true" outlineLevel="0" collapsed="false">
      <c r="A14" s="4" t="s">
        <v>139</v>
      </c>
      <c r="B14" s="5"/>
      <c r="C14" s="5"/>
      <c r="D14" s="5"/>
      <c r="E14" s="5"/>
    </row>
    <row r="15" customFormat="false" ht="15" hidden="false" customHeight="false" outlineLevel="0" collapsed="false">
      <c r="A15" s="27" t="s">
        <v>128</v>
      </c>
      <c r="B15" s="28" t="s">
        <v>129</v>
      </c>
      <c r="C15" s="28" t="s">
        <v>130</v>
      </c>
      <c r="D15" s="28" t="s">
        <v>131</v>
      </c>
    </row>
    <row r="16" customFormat="false" ht="15" hidden="false" customHeight="false" outlineLevel="0" collapsed="false">
      <c r="A16" s="12" t="s">
        <v>140</v>
      </c>
      <c r="B16" s="29" t="n">
        <f aca="false">Assumptions!$B$24</f>
        <v>0.9</v>
      </c>
      <c r="C16" s="30" t="n">
        <f aca="false">Assumptions!$B$12</f>
        <v>150000</v>
      </c>
      <c r="D16" s="31" t="n">
        <f aca="false">B16*C16</f>
        <v>135000</v>
      </c>
    </row>
    <row r="17" customFormat="false" ht="15" hidden="false" customHeight="false" outlineLevel="0" collapsed="false">
      <c r="A17" s="12" t="s">
        <v>137</v>
      </c>
      <c r="C17" s="33" t="n">
        <f aca="false">Assumptions!$B$8</f>
        <v>0.2</v>
      </c>
      <c r="D17" s="31" t="n">
        <f aca="false">D16*C17</f>
        <v>27000</v>
      </c>
    </row>
    <row r="18" customFormat="false" ht="15" hidden="false" customHeight="false" outlineLevel="0" collapsed="false">
      <c r="A18" s="34" t="s">
        <v>141</v>
      </c>
      <c r="B18" s="35"/>
      <c r="C18" s="35"/>
      <c r="D18" s="36" t="n">
        <f aca="false">D16+D17</f>
        <v>162000</v>
      </c>
    </row>
    <row r="20" customFormat="false" ht="16.5" hidden="false" customHeight="true" outlineLevel="0" collapsed="false">
      <c r="A20" s="4" t="s">
        <v>76</v>
      </c>
      <c r="B20" s="5"/>
      <c r="C20" s="5"/>
      <c r="D20" s="5"/>
      <c r="E20" s="5"/>
    </row>
    <row r="21" customFormat="false" ht="15" hidden="false" customHeight="false" outlineLevel="0" collapsed="false">
      <c r="A21" s="27" t="s">
        <v>128</v>
      </c>
      <c r="B21" s="28" t="s">
        <v>142</v>
      </c>
      <c r="C21" s="28" t="s">
        <v>143</v>
      </c>
    </row>
    <row r="22" customFormat="false" ht="15" hidden="false" customHeight="false" outlineLevel="0" collapsed="false">
      <c r="A22" s="12" t="s">
        <v>77</v>
      </c>
      <c r="B22" s="31" t="n">
        <f aca="false">Assumptions!$B$27*12*Assumptions!$B$5</f>
        <v>17400</v>
      </c>
      <c r="C22" s="31" t="n">
        <f aca="false">B22</f>
        <v>17400</v>
      </c>
    </row>
    <row r="23" customFormat="false" ht="15" hidden="false" customHeight="false" outlineLevel="0" collapsed="false">
      <c r="A23" s="12" t="s">
        <v>80</v>
      </c>
      <c r="B23" s="30" t="n">
        <f aca="false">Assumptions!$B$28</f>
        <v>22065</v>
      </c>
      <c r="C23" s="31" t="n">
        <f aca="false">B23</f>
        <v>22065</v>
      </c>
    </row>
    <row r="24" customFormat="false" ht="15" hidden="false" customHeight="false" outlineLevel="0" collapsed="false">
      <c r="A24" s="12" t="s">
        <v>144</v>
      </c>
      <c r="B24" s="30" t="n">
        <f aca="false">Assumptions!$B$29</f>
        <v>8700</v>
      </c>
      <c r="C24" s="31" t="n">
        <f aca="false">B24</f>
        <v>8700</v>
      </c>
    </row>
    <row r="25" customFormat="false" ht="15" hidden="false" customHeight="false" outlineLevel="0" collapsed="false">
      <c r="A25" s="12" t="s">
        <v>85</v>
      </c>
      <c r="B25" s="30" t="n">
        <f aca="false">Assumptions!$B$30</f>
        <v>6960</v>
      </c>
      <c r="C25" s="31" t="n">
        <f aca="false">B25</f>
        <v>6960</v>
      </c>
    </row>
    <row r="26" customFormat="false" ht="15" hidden="false" customHeight="false" outlineLevel="0" collapsed="false">
      <c r="A26" s="12" t="s">
        <v>145</v>
      </c>
      <c r="B26" s="31" t="n">
        <v>0</v>
      </c>
      <c r="C26" s="31" t="n">
        <f aca="false">Assumptions!$B$31*4*Assumptions!$B$15</f>
        <v>6000</v>
      </c>
    </row>
    <row r="27" customFormat="false" ht="15" hidden="false" customHeight="false" outlineLevel="0" collapsed="false">
      <c r="A27" s="37" t="s">
        <v>146</v>
      </c>
    </row>
    <row r="28" customFormat="false" ht="15" hidden="false" customHeight="false" outlineLevel="0" collapsed="false">
      <c r="A28" s="34" t="s">
        <v>147</v>
      </c>
      <c r="B28" s="36" t="n">
        <f aca="false">SUM(B22:B26)</f>
        <v>55125</v>
      </c>
      <c r="C28" s="36" t="n">
        <f aca="false">SUM(C22:C26)</f>
        <v>61125</v>
      </c>
    </row>
    <row r="30" customFormat="false" ht="16.5" hidden="false" customHeight="true" outlineLevel="0" collapsed="false">
      <c r="A30" s="4" t="s">
        <v>148</v>
      </c>
      <c r="B30" s="5"/>
      <c r="C30" s="5"/>
      <c r="D30" s="5"/>
      <c r="E30" s="5"/>
    </row>
    <row r="31" customFormat="false" ht="15" hidden="false" customHeight="false" outlineLevel="0" collapsed="false">
      <c r="A31" s="27"/>
      <c r="B31" s="28" t="s">
        <v>149</v>
      </c>
      <c r="C31" s="28" t="s">
        <v>150</v>
      </c>
      <c r="D31" s="28" t="s">
        <v>151</v>
      </c>
      <c r="E31" s="28" t="s">
        <v>152</v>
      </c>
    </row>
    <row r="32" customFormat="false" ht="15" hidden="false" customHeight="false" outlineLevel="0" collapsed="false">
      <c r="A32" s="12" t="s">
        <v>153</v>
      </c>
      <c r="B32" s="31" t="n">
        <f aca="false">D12</f>
        <v>711000</v>
      </c>
      <c r="C32" s="31" t="n">
        <f aca="false">D18</f>
        <v>162000</v>
      </c>
      <c r="D32" s="31" t="n">
        <v>0</v>
      </c>
      <c r="E32" s="31" t="n">
        <f aca="false">SUM(B32:D32)</f>
        <v>873000</v>
      </c>
    </row>
    <row r="33" customFormat="false" ht="15" hidden="false" customHeight="false" outlineLevel="0" collapsed="false">
      <c r="A33" s="12" t="s">
        <v>154</v>
      </c>
      <c r="B33" s="31" t="n">
        <f aca="false">B28</f>
        <v>55125</v>
      </c>
      <c r="C33" s="31" t="n">
        <f aca="false">C28</f>
        <v>61125</v>
      </c>
      <c r="D33" s="31" t="n">
        <f aca="false">C28</f>
        <v>61125</v>
      </c>
      <c r="E33" s="31" t="n">
        <f aca="false">SUM(B33:D33)</f>
        <v>177375</v>
      </c>
    </row>
    <row r="34" customFormat="false" ht="15" hidden="false" customHeight="false" outlineLevel="0" collapsed="false">
      <c r="A34" s="34" t="s">
        <v>155</v>
      </c>
      <c r="B34" s="36" t="n">
        <f aca="false">SUM(B32:B33)</f>
        <v>766125</v>
      </c>
      <c r="C34" s="36" t="n">
        <f aca="false">SUM(C32:C33)</f>
        <v>223125</v>
      </c>
      <c r="D34" s="36" t="n">
        <f aca="false">SUM(D32:D33)</f>
        <v>61125</v>
      </c>
      <c r="E34" s="36" t="n">
        <f aca="false">SUM(E32:E33)</f>
        <v>1050375</v>
      </c>
    </row>
    <row r="35" customFormat="false" ht="15" hidden="false" customHeight="false" outlineLevel="0" collapsed="false">
      <c r="A35" s="6" t="s">
        <v>156</v>
      </c>
      <c r="B35" s="38" t="n">
        <f aca="false">IFERROR(B34/Assumptions!$B$5,"n/a")</f>
        <v>13209.0517241379</v>
      </c>
      <c r="C35" s="38" t="n">
        <f aca="false">IFERROR(C34/Assumptions!$B$5,"n/a")</f>
        <v>3846.98275862069</v>
      </c>
      <c r="D35" s="38" t="n">
        <f aca="false">IFERROR(D34/Assumptions!$B$5,"n/a")</f>
        <v>1053.87931034483</v>
      </c>
      <c r="E35" s="38" t="n">
        <f aca="false">IFERROR(E34/Assumptions!$B$5,"n/a")</f>
        <v>18109.9137931035</v>
      </c>
    </row>
    <row r="36" customFormat="false" ht="15" hidden="false" customHeight="false" outlineLevel="0" collapsed="false">
      <c r="A36" s="12" t="s">
        <v>157</v>
      </c>
      <c r="E36" s="31" t="n">
        <f aca="false">IFERROR(E34/Assumptions!$B$6,"n/a")</f>
        <v>1648.94034536892</v>
      </c>
    </row>
    <row r="37" customFormat="false" ht="15" hidden="false" customHeight="false" outlineLevel="0" collapsed="false">
      <c r="A37" s="12" t="s">
        <v>158</v>
      </c>
      <c r="E37" s="31" t="n">
        <f aca="false">IFERROR(E34/Assumptions!$B$6/3,"n/a")</f>
        <v>549.646781789639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3" min="2" style="1" width="15"/>
    <col collapsed="false" customWidth="true" hidden="false" outlineLevel="0" max="5" min="4" style="1" width="17"/>
  </cols>
  <sheetData>
    <row r="1" customFormat="false" ht="21" hidden="false" customHeight="true" outlineLevel="0" collapsed="false">
      <c r="A1" s="2" t="s">
        <v>159</v>
      </c>
    </row>
    <row r="2" customFormat="false" ht="15" hidden="false" customHeight="false" outlineLevel="0" collapsed="false">
      <c r="A2" s="3" t="s">
        <v>160</v>
      </c>
    </row>
    <row r="4" customFormat="false" ht="16.5" hidden="false" customHeight="true" outlineLevel="0" collapsed="false">
      <c r="A4" s="4" t="s">
        <v>161</v>
      </c>
      <c r="B4" s="5"/>
      <c r="C4" s="5"/>
      <c r="D4" s="5"/>
      <c r="E4" s="5"/>
    </row>
    <row r="5" customFormat="false" ht="15" hidden="false" customHeight="false" outlineLevel="0" collapsed="false">
      <c r="A5" s="27"/>
      <c r="B5" s="28" t="s">
        <v>162</v>
      </c>
      <c r="C5" s="28" t="s">
        <v>163</v>
      </c>
      <c r="D5" s="28" t="s">
        <v>164</v>
      </c>
      <c r="E5" s="28" t="s">
        <v>165</v>
      </c>
    </row>
    <row r="6" customFormat="false" ht="15" hidden="false" customHeight="false" outlineLevel="0" collapsed="false">
      <c r="A6" s="12" t="s">
        <v>166</v>
      </c>
      <c r="B6" s="39" t="n">
        <f aca="false">Assumptions!$B$49+Assumptions!$B$51+Assumptions!$B$53</f>
        <v>75000</v>
      </c>
      <c r="C6" s="39" t="n">
        <f aca="false">Assumptions!$B$50+Assumptions!$B$52+Assumptions!$B$54</f>
        <v>240000</v>
      </c>
      <c r="D6" s="31" t="n">
        <f aca="false">B6*Assumptions!$B$5</f>
        <v>4350000</v>
      </c>
      <c r="E6" s="31" t="n">
        <f aca="false">C6*Assumptions!$B$5</f>
        <v>13920000</v>
      </c>
    </row>
    <row r="7" customFormat="false" ht="15" hidden="false" customHeight="false" outlineLevel="0" collapsed="false">
      <c r="A7" s="12" t="s">
        <v>167</v>
      </c>
      <c r="B7" s="39" t="n">
        <f aca="false">Assumptions!$B$49</f>
        <v>50000</v>
      </c>
      <c r="C7" s="39" t="n">
        <f aca="false">Assumptions!$B$50</f>
        <v>120000</v>
      </c>
      <c r="D7" s="31" t="n">
        <f aca="false">B7*Assumptions!$B$5</f>
        <v>2900000</v>
      </c>
      <c r="E7" s="31" t="n">
        <f aca="false">C7*Assumptions!$B$5</f>
        <v>6960000</v>
      </c>
    </row>
    <row r="8" customFormat="false" ht="15" hidden="false" customHeight="false" outlineLevel="0" collapsed="false">
      <c r="A8" s="12" t="s">
        <v>168</v>
      </c>
      <c r="B8" s="39" t="n">
        <f aca="false">Assumptions!$B$49</f>
        <v>50000</v>
      </c>
      <c r="C8" s="39" t="n">
        <f aca="false">Assumptions!$B$50</f>
        <v>120000</v>
      </c>
      <c r="D8" s="31" t="n">
        <f aca="false">B8*Assumptions!$B$5</f>
        <v>2900000</v>
      </c>
      <c r="E8" s="31" t="n">
        <f aca="false">C8*Assumptions!$B$5</f>
        <v>6960000</v>
      </c>
    </row>
    <row r="9" customFormat="false" ht="15" hidden="false" customHeight="false" outlineLevel="0" collapsed="false">
      <c r="A9" s="34" t="s">
        <v>169</v>
      </c>
      <c r="B9" s="40" t="n">
        <f aca="false">SUM(B6:B8)</f>
        <v>175000</v>
      </c>
      <c r="C9" s="40" t="n">
        <f aca="false">SUM(C6:C8)</f>
        <v>480000</v>
      </c>
      <c r="D9" s="36" t="n">
        <f aca="false">SUM(D6:D8)</f>
        <v>10150000</v>
      </c>
      <c r="E9" s="36" t="n">
        <f aca="false">SUM(E6:E8)</f>
        <v>27840000</v>
      </c>
    </row>
    <row r="10" customFormat="false" ht="15" hidden="false" customHeight="false" outlineLevel="0" collapsed="false">
      <c r="A10" s="12" t="s">
        <v>157</v>
      </c>
      <c r="D10" s="31" t="n">
        <f aca="false">IFERROR(D9/Assumptions!$B$6,"n/a")</f>
        <v>15934.0659340659</v>
      </c>
      <c r="E10" s="31" t="n">
        <f aca="false">IFERROR(E9/Assumptions!$B$6,"n/a")</f>
        <v>43704.8665620094</v>
      </c>
    </row>
    <row r="12" customFormat="false" ht="16.5" hidden="false" customHeight="true" outlineLevel="0" collapsed="false">
      <c r="A12" s="4" t="s">
        <v>170</v>
      </c>
      <c r="B12" s="5"/>
      <c r="C12" s="5"/>
      <c r="D12" s="5"/>
      <c r="E12" s="5"/>
    </row>
    <row r="13" customFormat="false" ht="15" hidden="false" customHeight="false" outlineLevel="0" collapsed="false">
      <c r="A13" s="27"/>
      <c r="B13" s="28" t="s">
        <v>119</v>
      </c>
      <c r="C13" s="28"/>
      <c r="D13" s="28" t="s">
        <v>72</v>
      </c>
      <c r="E13" s="28"/>
    </row>
    <row r="14" customFormat="false" ht="15" hidden="false" customHeight="false" outlineLevel="0" collapsed="false">
      <c r="A14" s="34" t="s">
        <v>169</v>
      </c>
      <c r="B14" s="41" t="n">
        <f aca="false">IFERROR(Costs!$E$34/Assumptions!$B$5,"n/a")</f>
        <v>18109.9137931035</v>
      </c>
      <c r="C14" s="35"/>
      <c r="D14" s="42" t="n">
        <f aca="false">Costs!$E$34</f>
        <v>1050375</v>
      </c>
      <c r="E14" s="35"/>
    </row>
    <row r="15" customFormat="false" ht="15" hidden="false" customHeight="false" outlineLevel="0" collapsed="false">
      <c r="A15" s="12" t="s">
        <v>157</v>
      </c>
      <c r="D15" s="31" t="n">
        <f aca="false">IFERROR(D14/Assumptions!$B$6,"n/a")</f>
        <v>1648.94034536892</v>
      </c>
    </row>
    <row r="17" customFormat="false" ht="16.5" hidden="false" customHeight="true" outlineLevel="0" collapsed="false">
      <c r="A17" s="4" t="s">
        <v>171</v>
      </c>
      <c r="B17" s="5"/>
      <c r="C17" s="5"/>
      <c r="D17" s="5"/>
      <c r="E17" s="5"/>
    </row>
    <row r="18" customFormat="false" ht="23.85" hidden="false" customHeight="false" outlineLevel="0" collapsed="false">
      <c r="A18" s="27"/>
      <c r="B18" s="28" t="s">
        <v>172</v>
      </c>
      <c r="C18" s="28" t="s">
        <v>173</v>
      </c>
    </row>
    <row r="19" customFormat="false" ht="15" hidden="false" customHeight="false" outlineLevel="0" collapsed="false">
      <c r="A19" s="12" t="s">
        <v>174</v>
      </c>
      <c r="B19" s="43" t="n">
        <f aca="false">IFERROR(D9/D14,"n/a")</f>
        <v>9.66321551826729</v>
      </c>
      <c r="C19" s="43" t="n">
        <f aca="false">IFERROR(E9/D14,"n/a")</f>
        <v>26.5048197072474</v>
      </c>
    </row>
    <row r="20" customFormat="false" ht="15" hidden="false" customHeight="false" outlineLevel="0" collapsed="false">
      <c r="A20" s="12" t="s">
        <v>175</v>
      </c>
      <c r="B20" s="31" t="n">
        <f aca="false">D9-D14</f>
        <v>9099625</v>
      </c>
      <c r="C20" s="31" t="n">
        <f aca="false">E9-D14</f>
        <v>26789625</v>
      </c>
    </row>
    <row r="22" customFormat="false" ht="16.5" hidden="false" customHeight="true" outlineLevel="0" collapsed="false">
      <c r="A22" s="4" t="s">
        <v>176</v>
      </c>
      <c r="B22" s="5"/>
      <c r="C22" s="5"/>
      <c r="D22" s="5"/>
      <c r="E22" s="5"/>
    </row>
    <row r="23" customFormat="false" ht="30" hidden="false" customHeight="true" outlineLevel="0" collapsed="false">
      <c r="A23" s="44" t="s">
        <v>177</v>
      </c>
      <c r="B23" s="44"/>
      <c r="C23" s="44"/>
      <c r="D23" s="44"/>
      <c r="E23" s="44"/>
    </row>
    <row r="24" customFormat="false" ht="15" hidden="false" customHeight="false" outlineLevel="0" collapsed="false">
      <c r="A24" s="27"/>
      <c r="B24" s="28" t="s">
        <v>178</v>
      </c>
      <c r="C24" s="28" t="s">
        <v>179</v>
      </c>
    </row>
    <row r="25" customFormat="false" ht="15" hidden="false" customHeight="false" outlineLevel="0" collapsed="false">
      <c r="A25" s="12" t="s">
        <v>180</v>
      </c>
      <c r="B25" s="45" t="n">
        <f aca="false">IFERROR(D9/Assumptions!$B$34,"n/a")</f>
        <v>29</v>
      </c>
      <c r="C25" s="46" t="n">
        <f aca="false">IFERROR(B25/3,"n/a")</f>
        <v>9.66666666666667</v>
      </c>
    </row>
    <row r="26" customFormat="false" ht="15" hidden="false" customHeight="false" outlineLevel="0" collapsed="false">
      <c r="A26" s="12" t="s">
        <v>181</v>
      </c>
      <c r="B26" s="45" t="n">
        <f aca="false">IFERROR(E9/Assumptions!$B$34,"n/a")</f>
        <v>79.5428571428571</v>
      </c>
      <c r="C26" s="46" t="n">
        <f aca="false">IFERROR(B26/3,"n/a")</f>
        <v>26.5142857142857</v>
      </c>
    </row>
    <row r="27" customFormat="false" ht="15" hidden="false" customHeight="false" outlineLevel="0" collapsed="false">
      <c r="A27" s="34" t="s">
        <v>182</v>
      </c>
      <c r="B27" s="47" t="n">
        <f aca="false">IFERROR(D14/Assumptions!$B$34,"n/a")</f>
        <v>3.00107142857143</v>
      </c>
      <c r="C27" s="48" t="n">
        <f aca="false">IFERROR(B27/3,"n/a")</f>
        <v>1.00035714285714</v>
      </c>
    </row>
    <row r="29" customFormat="false" ht="51.75" hidden="false" customHeight="true" outlineLevel="0" collapsed="false">
      <c r="A29" s="44" t="s">
        <v>183</v>
      </c>
      <c r="B29" s="44"/>
      <c r="C29" s="44"/>
      <c r="D29" s="44"/>
      <c r="E29" s="44"/>
    </row>
  </sheetData>
  <mergeCells count="2">
    <mergeCell ref="A23:E23"/>
    <mergeCell ref="A29:E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16"/>
    <col collapsed="false" customWidth="true" hidden="false" outlineLevel="0" max="4" min="4" style="1" width="15"/>
    <col collapsed="false" customWidth="true" hidden="false" outlineLevel="0" max="7" min="5" style="1" width="17"/>
    <col collapsed="false" customWidth="true" hidden="false" outlineLevel="0" max="8" min="8" style="1" width="40"/>
  </cols>
  <sheetData>
    <row r="1" customFormat="false" ht="21" hidden="false" customHeight="true" outlineLevel="0" collapsed="false">
      <c r="A1" s="2" t="s">
        <v>22</v>
      </c>
    </row>
    <row r="2" customFormat="false" ht="15" hidden="false" customHeight="false" outlineLevel="0" collapsed="false">
      <c r="A2" s="3" t="s">
        <v>184</v>
      </c>
    </row>
    <row r="4" customFormat="false" ht="16.5" hidden="false" customHeight="true" outlineLevel="0" collapsed="false">
      <c r="A4" s="4" t="s">
        <v>185</v>
      </c>
      <c r="B4" s="5"/>
      <c r="C4" s="5"/>
      <c r="D4" s="5"/>
      <c r="E4" s="5"/>
      <c r="F4" s="5"/>
      <c r="G4" s="5"/>
      <c r="H4" s="5"/>
    </row>
    <row r="5" customFormat="false" ht="15" hidden="false" customHeight="false" outlineLevel="0" collapsed="false">
      <c r="A5" s="12" t="s">
        <v>186</v>
      </c>
      <c r="B5" s="31" t="n">
        <f aca="false">Assumptions!$B$35*Assumptions!$B$36</f>
        <v>360000</v>
      </c>
      <c r="H5" s="14" t="s">
        <v>187</v>
      </c>
    </row>
    <row r="6" customFormat="false" ht="15" hidden="false" customHeight="false" outlineLevel="0" collapsed="false">
      <c r="A6" s="12" t="s">
        <v>188</v>
      </c>
      <c r="B6" s="49" t="n">
        <f aca="false">IFERROR(Assumptions!$B$35/Assumptions!$B$37,"n/a")</f>
        <v>1846.15384615385</v>
      </c>
      <c r="H6" s="14" t="s">
        <v>189</v>
      </c>
    </row>
    <row r="7" customFormat="false" ht="15" hidden="false" customHeight="false" outlineLevel="0" collapsed="false">
      <c r="A7" s="12" t="s">
        <v>190</v>
      </c>
      <c r="B7" s="32" t="n">
        <f aca="false">Assumptions!$B$39*Assumptions!$B$40*Benefits!$B$5</f>
        <v>1296000</v>
      </c>
      <c r="H7" s="14" t="s">
        <v>191</v>
      </c>
    </row>
    <row r="9" customFormat="false" ht="16.5" hidden="false" customHeight="true" outlineLevel="0" collapsed="false">
      <c r="A9" s="4" t="s">
        <v>192</v>
      </c>
      <c r="B9" s="5"/>
      <c r="C9" s="5"/>
      <c r="D9" s="5"/>
      <c r="E9" s="5"/>
      <c r="F9" s="5"/>
      <c r="G9" s="5"/>
      <c r="H9" s="5"/>
    </row>
    <row r="10" customFormat="false" ht="15" hidden="false" customHeight="false" outlineLevel="0" collapsed="false">
      <c r="A10" s="27" t="s">
        <v>193</v>
      </c>
      <c r="B10" s="28" t="s">
        <v>194</v>
      </c>
      <c r="C10" s="28" t="s">
        <v>195</v>
      </c>
      <c r="D10" s="28" t="s">
        <v>196</v>
      </c>
      <c r="E10" s="28" t="s">
        <v>197</v>
      </c>
      <c r="F10" s="28" t="s">
        <v>198</v>
      </c>
      <c r="G10" s="28" t="s">
        <v>155</v>
      </c>
      <c r="H10" s="28" t="s">
        <v>199</v>
      </c>
    </row>
    <row r="11" customFormat="false" ht="15" hidden="false" customHeight="false" outlineLevel="0" collapsed="false">
      <c r="A11" s="12" t="s">
        <v>108</v>
      </c>
      <c r="B11" s="50" t="n">
        <f aca="false">Assumptions!$B$44</f>
        <v>2</v>
      </c>
      <c r="C11" s="31" t="n">
        <f aca="false">B11*Assumptions!$B$34</f>
        <v>700000</v>
      </c>
      <c r="D11" s="31" t="n">
        <f aca="false">B11*Assumptions!$B$38*Benefits!$B$6</f>
        <v>136615.384615385</v>
      </c>
      <c r="E11" s="32" t="n">
        <f aca="false">C11+D11</f>
        <v>836615.384615385</v>
      </c>
      <c r="F11" s="32" t="n">
        <f aca="false">Benefits!$B$7</f>
        <v>1296000</v>
      </c>
      <c r="G11" s="32" t="n">
        <f aca="false">E11+F11</f>
        <v>2132615.38461538</v>
      </c>
      <c r="H11" s="14" t="s">
        <v>200</v>
      </c>
    </row>
    <row r="12" customFormat="false" ht="15" hidden="false" customHeight="false" outlineLevel="0" collapsed="false">
      <c r="A12" s="34" t="s">
        <v>110</v>
      </c>
      <c r="B12" s="51" t="n">
        <f aca="false">Assumptions!$B$45</f>
        <v>4</v>
      </c>
      <c r="C12" s="52" t="n">
        <f aca="false">B12*Assumptions!$B$34</f>
        <v>1400000</v>
      </c>
      <c r="D12" s="52" t="n">
        <f aca="false">B12*Assumptions!$B$38*Benefits!$B$6</f>
        <v>273230.769230769</v>
      </c>
      <c r="E12" s="36" t="n">
        <f aca="false">C12+D12</f>
        <v>1673230.76923077</v>
      </c>
      <c r="F12" s="36" t="n">
        <f aca="false">Benefits!$B$7</f>
        <v>1296000</v>
      </c>
      <c r="G12" s="36" t="n">
        <f aca="false">E12+F12</f>
        <v>2969230.76923077</v>
      </c>
      <c r="H12" s="53" t="s">
        <v>200</v>
      </c>
    </row>
    <row r="13" customFormat="false" ht="15" hidden="false" customHeight="false" outlineLevel="0" collapsed="false">
      <c r="A13" s="12" t="s">
        <v>112</v>
      </c>
      <c r="B13" s="50" t="n">
        <f aca="false">Assumptions!$B$46</f>
        <v>7</v>
      </c>
      <c r="C13" s="31" t="n">
        <f aca="false">B13*Assumptions!$B$34</f>
        <v>2450000</v>
      </c>
      <c r="D13" s="31" t="n">
        <f aca="false">B13*Assumptions!$B$38*Benefits!$B$6</f>
        <v>478153.846153846</v>
      </c>
      <c r="E13" s="32" t="n">
        <f aca="false">C13+D13</f>
        <v>2928153.84615385</v>
      </c>
      <c r="F13" s="32" t="n">
        <f aca="false">Benefits!$B$7</f>
        <v>1296000</v>
      </c>
      <c r="G13" s="32" t="n">
        <f aca="false">E13+F13</f>
        <v>4224153.84615385</v>
      </c>
      <c r="H13" s="14" t="s">
        <v>200</v>
      </c>
    </row>
    <row r="14" customFormat="false" ht="15" hidden="false" customHeight="false" outlineLevel="0" collapsed="false">
      <c r="A14" s="54" t="s">
        <v>201</v>
      </c>
      <c r="B14" s="50" t="n">
        <f aca="false">Assumptions!$B$45</f>
        <v>4</v>
      </c>
      <c r="C14" s="31" t="n">
        <f aca="false">B14*Assumptions!$B$34</f>
        <v>1400000</v>
      </c>
      <c r="D14" s="31" t="n">
        <f aca="false">B14*Assumptions!$B$38*Benefits!$B$6</f>
        <v>273230.769230769</v>
      </c>
      <c r="E14" s="32" t="n">
        <f aca="false">C14+D14</f>
        <v>1673230.76923077</v>
      </c>
      <c r="F14" s="32" t="n">
        <v>0</v>
      </c>
      <c r="G14" s="32" t="n">
        <f aca="false">E14+F14</f>
        <v>1673230.76923077</v>
      </c>
      <c r="H14" s="14" t="s">
        <v>202</v>
      </c>
    </row>
    <row r="15" customFormat="false" ht="15" hidden="false" customHeight="false" outlineLevel="0" collapsed="false">
      <c r="A15" s="54" t="s">
        <v>203</v>
      </c>
      <c r="B15" s="55" t="n">
        <v>0</v>
      </c>
      <c r="C15" s="31" t="n">
        <f aca="false">B15*Assumptions!$B$34</f>
        <v>0</v>
      </c>
      <c r="D15" s="31" t="n">
        <f aca="false">B15*Assumptions!$B$38*Benefits!$B$6</f>
        <v>0</v>
      </c>
      <c r="E15" s="32" t="n">
        <f aca="false">C15+D15</f>
        <v>0</v>
      </c>
      <c r="F15" s="32" t="n">
        <f aca="false">Benefits!$B$7</f>
        <v>1296000</v>
      </c>
      <c r="G15" s="32" t="n">
        <f aca="false">E15+F15</f>
        <v>1296000</v>
      </c>
      <c r="H15" s="14" t="s">
        <v>204</v>
      </c>
    </row>
    <row r="17" customFormat="false" ht="16.5" hidden="false" customHeight="true" outlineLevel="0" collapsed="false">
      <c r="A17" s="4" t="s">
        <v>205</v>
      </c>
      <c r="B17" s="5"/>
      <c r="C17" s="5"/>
      <c r="D17" s="5"/>
      <c r="E17" s="5"/>
      <c r="F17" s="5"/>
      <c r="G17" s="5"/>
      <c r="H17" s="5"/>
    </row>
    <row r="18" customFormat="false" ht="45.75" hidden="false" customHeight="true" outlineLevel="0" collapsed="false">
      <c r="A18" s="56" t="s">
        <v>206</v>
      </c>
      <c r="B18" s="57" t="s">
        <v>207</v>
      </c>
      <c r="C18" s="57"/>
      <c r="D18" s="57"/>
      <c r="E18" s="57"/>
      <c r="F18" s="57"/>
      <c r="G18" s="57"/>
      <c r="H18" s="57"/>
    </row>
    <row r="19" customFormat="false" ht="45.75" hidden="false" customHeight="true" outlineLevel="0" collapsed="false">
      <c r="A19" s="56" t="s">
        <v>208</v>
      </c>
      <c r="B19" s="57" t="s">
        <v>209</v>
      </c>
      <c r="C19" s="57"/>
      <c r="D19" s="57"/>
      <c r="E19" s="57"/>
      <c r="F19" s="57"/>
      <c r="G19" s="57"/>
      <c r="H19" s="57"/>
    </row>
    <row r="20" customFormat="false" ht="45.75" hidden="false" customHeight="true" outlineLevel="0" collapsed="false">
      <c r="A20" s="56" t="s">
        <v>210</v>
      </c>
      <c r="B20" s="57" t="s">
        <v>211</v>
      </c>
      <c r="C20" s="57"/>
      <c r="D20" s="57"/>
      <c r="E20" s="57"/>
      <c r="F20" s="57"/>
      <c r="G20" s="57"/>
      <c r="H20" s="57"/>
    </row>
  </sheetData>
  <mergeCells count="3">
    <mergeCell ref="B18:H18"/>
    <mergeCell ref="B19:H19"/>
    <mergeCell ref="B20:H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7"/>
    <col collapsed="false" customWidth="true" hidden="false" outlineLevel="0" max="3" min="3" style="1" width="13"/>
    <col collapsed="false" customWidth="true" hidden="false" outlineLevel="0" max="4" min="4" style="1" width="12"/>
    <col collapsed="false" customWidth="true" hidden="false" outlineLevel="0" max="5" min="5" style="1" width="13"/>
    <col collapsed="false" customWidth="true" hidden="false" outlineLevel="0" max="6" min="6" style="1" width="15"/>
    <col collapsed="false" customWidth="true" hidden="false" outlineLevel="0" max="11" min="7" style="1" width="14"/>
    <col collapsed="false" customWidth="true" hidden="false" outlineLevel="0" max="16" min="12" style="1" width="15"/>
    <col collapsed="false" customWidth="true" hidden="false" outlineLevel="0" max="21" min="17" style="1" width="10"/>
  </cols>
  <sheetData>
    <row r="1" customFormat="false" ht="21" hidden="false" customHeight="true" outlineLevel="0" collapsed="false">
      <c r="A1" s="2" t="s">
        <v>212</v>
      </c>
    </row>
    <row r="2" customFormat="false" ht="15" hidden="false" customHeight="false" outlineLevel="0" collapsed="false">
      <c r="A2" s="3" t="s">
        <v>213</v>
      </c>
    </row>
    <row r="4" customFormat="false" ht="23.85" hidden="false" customHeight="false" outlineLevel="0" collapsed="false">
      <c r="A4" s="27" t="s">
        <v>214</v>
      </c>
      <c r="B4" s="28" t="s">
        <v>215</v>
      </c>
      <c r="C4" s="28" t="s">
        <v>216</v>
      </c>
      <c r="D4" s="28" t="s">
        <v>217</v>
      </c>
      <c r="E4" s="28" t="s">
        <v>131</v>
      </c>
      <c r="F4" s="28" t="s">
        <v>218</v>
      </c>
      <c r="G4" s="28" t="s">
        <v>219</v>
      </c>
      <c r="H4" s="28" t="s">
        <v>220</v>
      </c>
      <c r="I4" s="28" t="s">
        <v>221</v>
      </c>
      <c r="J4" s="28" t="s">
        <v>222</v>
      </c>
      <c r="K4" s="28" t="s">
        <v>223</v>
      </c>
      <c r="L4" s="28" t="s">
        <v>224</v>
      </c>
      <c r="M4" s="28" t="s">
        <v>225</v>
      </c>
      <c r="N4" s="28" t="s">
        <v>226</v>
      </c>
      <c r="O4" s="28" t="s">
        <v>227</v>
      </c>
      <c r="P4" s="28" t="s">
        <v>228</v>
      </c>
      <c r="Q4" s="28" t="s">
        <v>229</v>
      </c>
      <c r="R4" s="28" t="s">
        <v>230</v>
      </c>
      <c r="S4" s="28" t="s">
        <v>231</v>
      </c>
      <c r="T4" s="28" t="s">
        <v>232</v>
      </c>
      <c r="U4" s="28" t="s">
        <v>233</v>
      </c>
    </row>
    <row r="5" customFormat="false" ht="15" hidden="false" customHeight="false" outlineLevel="0" collapsed="false">
      <c r="A5" s="55" t="n">
        <v>1</v>
      </c>
      <c r="B5" s="55" t="n">
        <f aca="false">ROUNDUP(A5/12,0)</f>
        <v>1</v>
      </c>
      <c r="C5" s="31" t="n">
        <f aca="false">IF(A5&lt;=3,Costs!$D$12/3,IF(AND(A5&gt;=13,A5&lt;=15),Costs!$D$18/3,0))</f>
        <v>237000</v>
      </c>
      <c r="D5" s="31" t="n">
        <f aca="false">IF(B5=1,Costs!$B$28/12,Costs!$C$28/12)</f>
        <v>4593.75</v>
      </c>
      <c r="E5" s="31" t="n">
        <f aca="false">C5+D5</f>
        <v>241593.75</v>
      </c>
      <c r="F5" s="31" t="n">
        <f aca="false">E5</f>
        <v>241593.75</v>
      </c>
      <c r="G5" s="31" t="n">
        <f aca="false">IF(A5&lt;=3,0,IF(B5=1,Benefits!$G$11*Assumptions!$B$41/9,Benefits!$G$11/12))</f>
        <v>0</v>
      </c>
      <c r="H5" s="31" t="n">
        <f aca="false">IF(A5&lt;=3,0,IF(B5=1,Benefits!$G$12*Assumptions!$B$41/9,Benefits!$G$12/12))</f>
        <v>0</v>
      </c>
      <c r="I5" s="31" t="n">
        <f aca="false">IF(A5&lt;=3,0,IF(B5=1,Benefits!$G$13*Assumptions!$B$41/9,Benefits!$G$13/12))</f>
        <v>0</v>
      </c>
      <c r="J5" s="31" t="n">
        <f aca="false">IF(A5&lt;=3,0,IF(B5=1,Benefits!$G$14*Assumptions!$B$41/9,Benefits!$G$14/12))</f>
        <v>0</v>
      </c>
      <c r="K5" s="31" t="n">
        <f aca="false">IF(A5&lt;=3,0,IF(B5=1,Benefits!$G$15*Assumptions!$B$41/9,Benefits!$G$15/12))</f>
        <v>0</v>
      </c>
      <c r="L5" s="31" t="n">
        <f aca="false">G5</f>
        <v>0</v>
      </c>
      <c r="M5" s="31" t="n">
        <f aca="false">H5</f>
        <v>0</v>
      </c>
      <c r="N5" s="31" t="n">
        <f aca="false">I5</f>
        <v>0</v>
      </c>
      <c r="O5" s="31" t="n">
        <f aca="false">J5</f>
        <v>0</v>
      </c>
      <c r="P5" s="31" t="n">
        <f aca="false">K5</f>
        <v>0</v>
      </c>
      <c r="Q5" s="55" t="str">
        <f aca="false">IF(L5&gt;=F5,A5,"")</f>
        <v/>
      </c>
      <c r="R5" s="55" t="str">
        <f aca="false">IF(M5&gt;=F5,A5,"")</f>
        <v/>
      </c>
      <c r="S5" s="55" t="str">
        <f aca="false">IF(N5&gt;=F5,A5,"")</f>
        <v/>
      </c>
      <c r="T5" s="55" t="str">
        <f aca="false">IF(O5&gt;=F5,A5,"")</f>
        <v/>
      </c>
      <c r="U5" s="55" t="str">
        <f aca="false">IF(P5&gt;=F5,A5,"")</f>
        <v/>
      </c>
    </row>
    <row r="6" customFormat="false" ht="15" hidden="false" customHeight="false" outlineLevel="0" collapsed="false">
      <c r="A6" s="55" t="n">
        <v>2</v>
      </c>
      <c r="B6" s="55" t="n">
        <f aca="false">ROUNDUP(A6/12,0)</f>
        <v>1</v>
      </c>
      <c r="C6" s="31" t="n">
        <f aca="false">IF(A6&lt;=3,Costs!$D$12/3,IF(AND(A6&gt;=13,A6&lt;=15),Costs!$D$18/3,0))</f>
        <v>237000</v>
      </c>
      <c r="D6" s="31" t="n">
        <f aca="false">IF(B6=1,Costs!$B$28/12,Costs!$C$28/12)</f>
        <v>4593.75</v>
      </c>
      <c r="E6" s="31" t="n">
        <f aca="false">C6+D6</f>
        <v>241593.75</v>
      </c>
      <c r="F6" s="31" t="n">
        <f aca="false">F5+E6</f>
        <v>483187.5</v>
      </c>
      <c r="G6" s="31" t="n">
        <f aca="false">IF(A6&lt;=3,0,IF(B6=1,Benefits!$G$11*Assumptions!$B$41/9,Benefits!$G$11/12))</f>
        <v>0</v>
      </c>
      <c r="H6" s="31" t="n">
        <f aca="false">IF(A6&lt;=3,0,IF(B6=1,Benefits!$G$12*Assumptions!$B$41/9,Benefits!$G$12/12))</f>
        <v>0</v>
      </c>
      <c r="I6" s="31" t="n">
        <f aca="false">IF(A6&lt;=3,0,IF(B6=1,Benefits!$G$13*Assumptions!$B$41/9,Benefits!$G$13/12))</f>
        <v>0</v>
      </c>
      <c r="J6" s="31" t="n">
        <f aca="false">IF(A6&lt;=3,0,IF(B6=1,Benefits!$G$14*Assumptions!$B$41/9,Benefits!$G$14/12))</f>
        <v>0</v>
      </c>
      <c r="K6" s="31" t="n">
        <f aca="false">IF(A6&lt;=3,0,IF(B6=1,Benefits!$G$15*Assumptions!$B$41/9,Benefits!$G$15/12))</f>
        <v>0</v>
      </c>
      <c r="L6" s="31" t="n">
        <f aca="false">L5+G6</f>
        <v>0</v>
      </c>
      <c r="M6" s="31" t="n">
        <f aca="false">M5+H6</f>
        <v>0</v>
      </c>
      <c r="N6" s="31" t="n">
        <f aca="false">N5+I6</f>
        <v>0</v>
      </c>
      <c r="O6" s="31" t="n">
        <f aca="false">O5+J6</f>
        <v>0</v>
      </c>
      <c r="P6" s="31" t="n">
        <f aca="false">P5+K6</f>
        <v>0</v>
      </c>
      <c r="Q6" s="55" t="str">
        <f aca="false">IF(L6&gt;=F6,A6,"")</f>
        <v/>
      </c>
      <c r="R6" s="55" t="str">
        <f aca="false">IF(M6&gt;=F6,A6,"")</f>
        <v/>
      </c>
      <c r="S6" s="55" t="str">
        <f aca="false">IF(N6&gt;=F6,A6,"")</f>
        <v/>
      </c>
      <c r="T6" s="55" t="str">
        <f aca="false">IF(O6&gt;=F6,A6,"")</f>
        <v/>
      </c>
      <c r="U6" s="55" t="str">
        <f aca="false">IF(P6&gt;=F6,A6,"")</f>
        <v/>
      </c>
    </row>
    <row r="7" customFormat="false" ht="15" hidden="false" customHeight="false" outlineLevel="0" collapsed="false">
      <c r="A7" s="55" t="n">
        <v>3</v>
      </c>
      <c r="B7" s="55" t="n">
        <f aca="false">ROUNDUP(A7/12,0)</f>
        <v>1</v>
      </c>
      <c r="C7" s="31" t="n">
        <f aca="false">IF(A7&lt;=3,Costs!$D$12/3,IF(AND(A7&gt;=13,A7&lt;=15),Costs!$D$18/3,0))</f>
        <v>237000</v>
      </c>
      <c r="D7" s="31" t="n">
        <f aca="false">IF(B7=1,Costs!$B$28/12,Costs!$C$28/12)</f>
        <v>4593.75</v>
      </c>
      <c r="E7" s="31" t="n">
        <f aca="false">C7+D7</f>
        <v>241593.75</v>
      </c>
      <c r="F7" s="31" t="n">
        <f aca="false">F6+E7</f>
        <v>724781.25</v>
      </c>
      <c r="G7" s="31" t="n">
        <f aca="false">IF(A7&lt;=3,0,IF(B7=1,Benefits!$G$11*Assumptions!$B$41/9,Benefits!$G$11/12))</f>
        <v>0</v>
      </c>
      <c r="H7" s="31" t="n">
        <f aca="false">IF(A7&lt;=3,0,IF(B7=1,Benefits!$G$12*Assumptions!$B$41/9,Benefits!$G$12/12))</f>
        <v>0</v>
      </c>
      <c r="I7" s="31" t="n">
        <f aca="false">IF(A7&lt;=3,0,IF(B7=1,Benefits!$G$13*Assumptions!$B$41/9,Benefits!$G$13/12))</f>
        <v>0</v>
      </c>
      <c r="J7" s="31" t="n">
        <f aca="false">IF(A7&lt;=3,0,IF(B7=1,Benefits!$G$14*Assumptions!$B$41/9,Benefits!$G$14/12))</f>
        <v>0</v>
      </c>
      <c r="K7" s="31" t="n">
        <f aca="false">IF(A7&lt;=3,0,IF(B7=1,Benefits!$G$15*Assumptions!$B$41/9,Benefits!$G$15/12))</f>
        <v>0</v>
      </c>
      <c r="L7" s="31" t="n">
        <f aca="false">L6+G7</f>
        <v>0</v>
      </c>
      <c r="M7" s="31" t="n">
        <f aca="false">M6+H7</f>
        <v>0</v>
      </c>
      <c r="N7" s="31" t="n">
        <f aca="false">N6+I7</f>
        <v>0</v>
      </c>
      <c r="O7" s="31" t="n">
        <f aca="false">O6+J7</f>
        <v>0</v>
      </c>
      <c r="P7" s="31" t="n">
        <f aca="false">P6+K7</f>
        <v>0</v>
      </c>
      <c r="Q7" s="55" t="str">
        <f aca="false">IF(L7&gt;=F7,A7,"")</f>
        <v/>
      </c>
      <c r="R7" s="55" t="str">
        <f aca="false">IF(M7&gt;=F7,A7,"")</f>
        <v/>
      </c>
      <c r="S7" s="55" t="str">
        <f aca="false">IF(N7&gt;=F7,A7,"")</f>
        <v/>
      </c>
      <c r="T7" s="55" t="str">
        <f aca="false">IF(O7&gt;=F7,A7,"")</f>
        <v/>
      </c>
      <c r="U7" s="55" t="str">
        <f aca="false">IF(P7&gt;=F7,A7,"")</f>
        <v/>
      </c>
    </row>
    <row r="8" customFormat="false" ht="15" hidden="false" customHeight="false" outlineLevel="0" collapsed="false">
      <c r="A8" s="55" t="n">
        <v>4</v>
      </c>
      <c r="B8" s="55" t="n">
        <f aca="false">ROUNDUP(A8/12,0)</f>
        <v>1</v>
      </c>
      <c r="C8" s="31" t="n">
        <f aca="false">IF(A8&lt;=3,Costs!$D$12/3,IF(AND(A8&gt;=13,A8&lt;=15),Costs!$D$18/3,0))</f>
        <v>0</v>
      </c>
      <c r="D8" s="31" t="n">
        <f aca="false">IF(B8=1,Costs!$B$28/12,Costs!$C$28/12)</f>
        <v>4593.75</v>
      </c>
      <c r="E8" s="31" t="n">
        <f aca="false">C8+D8</f>
        <v>4593.75</v>
      </c>
      <c r="F8" s="31" t="n">
        <f aca="false">F7+E8</f>
        <v>729375</v>
      </c>
      <c r="G8" s="31" t="n">
        <f aca="false">IF(A8&lt;=3,0,IF(B8=1,Benefits!$G$11*Assumptions!$B$41/9,Benefits!$G$11/12))</f>
        <v>94782.905982906</v>
      </c>
      <c r="H8" s="31" t="n">
        <f aca="false">IF(A8&lt;=3,0,IF(B8=1,Benefits!$G$12*Assumptions!$B$41/9,Benefits!$G$12/12))</f>
        <v>131965.811965812</v>
      </c>
      <c r="I8" s="31" t="n">
        <f aca="false">IF(A8&lt;=3,0,IF(B8=1,Benefits!$G$13*Assumptions!$B$41/9,Benefits!$G$13/12))</f>
        <v>187740.170940171</v>
      </c>
      <c r="J8" s="31" t="n">
        <f aca="false">IF(A8&lt;=3,0,IF(B8=1,Benefits!$G$14*Assumptions!$B$41/9,Benefits!$G$14/12))</f>
        <v>74365.811965812</v>
      </c>
      <c r="K8" s="31" t="n">
        <f aca="false">IF(A8&lt;=3,0,IF(B8=1,Benefits!$G$15*Assumptions!$B$41/9,Benefits!$G$15/12))</f>
        <v>57600</v>
      </c>
      <c r="L8" s="31" t="n">
        <f aca="false">L7+G8</f>
        <v>94782.905982906</v>
      </c>
      <c r="M8" s="31" t="n">
        <f aca="false">M7+H8</f>
        <v>131965.811965812</v>
      </c>
      <c r="N8" s="31" t="n">
        <f aca="false">N7+I8</f>
        <v>187740.170940171</v>
      </c>
      <c r="O8" s="31" t="n">
        <f aca="false">O7+J8</f>
        <v>74365.811965812</v>
      </c>
      <c r="P8" s="31" t="n">
        <f aca="false">P7+K8</f>
        <v>57600</v>
      </c>
      <c r="Q8" s="55" t="str">
        <f aca="false">IF(L8&gt;=F8,A8,"")</f>
        <v/>
      </c>
      <c r="R8" s="55" t="str">
        <f aca="false">IF(M8&gt;=F8,A8,"")</f>
        <v/>
      </c>
      <c r="S8" s="55" t="str">
        <f aca="false">IF(N8&gt;=F8,A8,"")</f>
        <v/>
      </c>
      <c r="T8" s="55" t="str">
        <f aca="false">IF(O8&gt;=F8,A8,"")</f>
        <v/>
      </c>
      <c r="U8" s="55" t="str">
        <f aca="false">IF(P8&gt;=F8,A8,"")</f>
        <v/>
      </c>
    </row>
    <row r="9" customFormat="false" ht="15" hidden="false" customHeight="false" outlineLevel="0" collapsed="false">
      <c r="A9" s="55" t="n">
        <v>5</v>
      </c>
      <c r="B9" s="55" t="n">
        <f aca="false">ROUNDUP(A9/12,0)</f>
        <v>1</v>
      </c>
      <c r="C9" s="31" t="n">
        <f aca="false">IF(A9&lt;=3,Costs!$D$12/3,IF(AND(A9&gt;=13,A9&lt;=15),Costs!$D$18/3,0))</f>
        <v>0</v>
      </c>
      <c r="D9" s="31" t="n">
        <f aca="false">IF(B9=1,Costs!$B$28/12,Costs!$C$28/12)</f>
        <v>4593.75</v>
      </c>
      <c r="E9" s="31" t="n">
        <f aca="false">C9+D9</f>
        <v>4593.75</v>
      </c>
      <c r="F9" s="31" t="n">
        <f aca="false">F8+E9</f>
        <v>733968.75</v>
      </c>
      <c r="G9" s="31" t="n">
        <f aca="false">IF(A9&lt;=3,0,IF(B9=1,Benefits!$G$11*Assumptions!$B$41/9,Benefits!$G$11/12))</f>
        <v>94782.905982906</v>
      </c>
      <c r="H9" s="31" t="n">
        <f aca="false">IF(A9&lt;=3,0,IF(B9=1,Benefits!$G$12*Assumptions!$B$41/9,Benefits!$G$12/12))</f>
        <v>131965.811965812</v>
      </c>
      <c r="I9" s="31" t="n">
        <f aca="false">IF(A9&lt;=3,0,IF(B9=1,Benefits!$G$13*Assumptions!$B$41/9,Benefits!$G$13/12))</f>
        <v>187740.170940171</v>
      </c>
      <c r="J9" s="31" t="n">
        <f aca="false">IF(A9&lt;=3,0,IF(B9=1,Benefits!$G$14*Assumptions!$B$41/9,Benefits!$G$14/12))</f>
        <v>74365.811965812</v>
      </c>
      <c r="K9" s="31" t="n">
        <f aca="false">IF(A9&lt;=3,0,IF(B9=1,Benefits!$G$15*Assumptions!$B$41/9,Benefits!$G$15/12))</f>
        <v>57600</v>
      </c>
      <c r="L9" s="31" t="n">
        <f aca="false">L8+G9</f>
        <v>189565.811965812</v>
      </c>
      <c r="M9" s="31" t="n">
        <f aca="false">M8+H9</f>
        <v>263931.623931624</v>
      </c>
      <c r="N9" s="31" t="n">
        <f aca="false">N8+I9</f>
        <v>375480.341880342</v>
      </c>
      <c r="O9" s="31" t="n">
        <f aca="false">O8+J9</f>
        <v>148731.623931624</v>
      </c>
      <c r="P9" s="31" t="n">
        <f aca="false">P8+K9</f>
        <v>115200</v>
      </c>
      <c r="Q9" s="55" t="str">
        <f aca="false">IF(L9&gt;=F9,A9,"")</f>
        <v/>
      </c>
      <c r="R9" s="55" t="str">
        <f aca="false">IF(M9&gt;=F9,A9,"")</f>
        <v/>
      </c>
      <c r="S9" s="55" t="str">
        <f aca="false">IF(N9&gt;=F9,A9,"")</f>
        <v/>
      </c>
      <c r="T9" s="55" t="str">
        <f aca="false">IF(O9&gt;=F9,A9,"")</f>
        <v/>
      </c>
      <c r="U9" s="55" t="str">
        <f aca="false">IF(P9&gt;=F9,A9,"")</f>
        <v/>
      </c>
    </row>
    <row r="10" customFormat="false" ht="15" hidden="false" customHeight="false" outlineLevel="0" collapsed="false">
      <c r="A10" s="55" t="n">
        <v>6</v>
      </c>
      <c r="B10" s="55" t="n">
        <f aca="false">ROUNDUP(A10/12,0)</f>
        <v>1</v>
      </c>
      <c r="C10" s="31" t="n">
        <f aca="false">IF(A10&lt;=3,Costs!$D$12/3,IF(AND(A10&gt;=13,A10&lt;=15),Costs!$D$18/3,0))</f>
        <v>0</v>
      </c>
      <c r="D10" s="31" t="n">
        <f aca="false">IF(B10=1,Costs!$B$28/12,Costs!$C$28/12)</f>
        <v>4593.75</v>
      </c>
      <c r="E10" s="31" t="n">
        <f aca="false">C10+D10</f>
        <v>4593.75</v>
      </c>
      <c r="F10" s="31" t="n">
        <f aca="false">F9+E10</f>
        <v>738562.5</v>
      </c>
      <c r="G10" s="31" t="n">
        <f aca="false">IF(A10&lt;=3,0,IF(B10=1,Benefits!$G$11*Assumptions!$B$41/9,Benefits!$G$11/12))</f>
        <v>94782.905982906</v>
      </c>
      <c r="H10" s="31" t="n">
        <f aca="false">IF(A10&lt;=3,0,IF(B10=1,Benefits!$G$12*Assumptions!$B$41/9,Benefits!$G$12/12))</f>
        <v>131965.811965812</v>
      </c>
      <c r="I10" s="31" t="n">
        <f aca="false">IF(A10&lt;=3,0,IF(B10=1,Benefits!$G$13*Assumptions!$B$41/9,Benefits!$G$13/12))</f>
        <v>187740.170940171</v>
      </c>
      <c r="J10" s="31" t="n">
        <f aca="false">IF(A10&lt;=3,0,IF(B10=1,Benefits!$G$14*Assumptions!$B$41/9,Benefits!$G$14/12))</f>
        <v>74365.811965812</v>
      </c>
      <c r="K10" s="31" t="n">
        <f aca="false">IF(A10&lt;=3,0,IF(B10=1,Benefits!$G$15*Assumptions!$B$41/9,Benefits!$G$15/12))</f>
        <v>57600</v>
      </c>
      <c r="L10" s="31" t="n">
        <f aca="false">L9+G10</f>
        <v>284348.717948718</v>
      </c>
      <c r="M10" s="31" t="n">
        <f aca="false">M9+H10</f>
        <v>395897.435897436</v>
      </c>
      <c r="N10" s="31" t="n">
        <f aca="false">N9+I10</f>
        <v>563220.512820513</v>
      </c>
      <c r="O10" s="31" t="n">
        <f aca="false">O9+J10</f>
        <v>223097.435897436</v>
      </c>
      <c r="P10" s="31" t="n">
        <f aca="false">P9+K10</f>
        <v>172800</v>
      </c>
      <c r="Q10" s="55" t="str">
        <f aca="false">IF(L10&gt;=F10,A10,"")</f>
        <v/>
      </c>
      <c r="R10" s="55" t="str">
        <f aca="false">IF(M10&gt;=F10,A10,"")</f>
        <v/>
      </c>
      <c r="S10" s="55" t="str">
        <f aca="false">IF(N10&gt;=F10,A10,"")</f>
        <v/>
      </c>
      <c r="T10" s="55" t="str">
        <f aca="false">IF(O10&gt;=F10,A10,"")</f>
        <v/>
      </c>
      <c r="U10" s="55" t="str">
        <f aca="false">IF(P10&gt;=F10,A10,"")</f>
        <v/>
      </c>
    </row>
    <row r="11" customFormat="false" ht="15" hidden="false" customHeight="false" outlineLevel="0" collapsed="false">
      <c r="A11" s="55" t="n">
        <v>7</v>
      </c>
      <c r="B11" s="55" t="n">
        <f aca="false">ROUNDUP(A11/12,0)</f>
        <v>1</v>
      </c>
      <c r="C11" s="31" t="n">
        <f aca="false">IF(A11&lt;=3,Costs!$D$12/3,IF(AND(A11&gt;=13,A11&lt;=15),Costs!$D$18/3,0))</f>
        <v>0</v>
      </c>
      <c r="D11" s="31" t="n">
        <f aca="false">IF(B11=1,Costs!$B$28/12,Costs!$C$28/12)</f>
        <v>4593.75</v>
      </c>
      <c r="E11" s="31" t="n">
        <f aca="false">C11+D11</f>
        <v>4593.75</v>
      </c>
      <c r="F11" s="31" t="n">
        <f aca="false">F10+E11</f>
        <v>743156.25</v>
      </c>
      <c r="G11" s="31" t="n">
        <f aca="false">IF(A11&lt;=3,0,IF(B11=1,Benefits!$G$11*Assumptions!$B$41/9,Benefits!$G$11/12))</f>
        <v>94782.905982906</v>
      </c>
      <c r="H11" s="31" t="n">
        <f aca="false">IF(A11&lt;=3,0,IF(B11=1,Benefits!$G$12*Assumptions!$B$41/9,Benefits!$G$12/12))</f>
        <v>131965.811965812</v>
      </c>
      <c r="I11" s="31" t="n">
        <f aca="false">IF(A11&lt;=3,0,IF(B11=1,Benefits!$G$13*Assumptions!$B$41/9,Benefits!$G$13/12))</f>
        <v>187740.170940171</v>
      </c>
      <c r="J11" s="31" t="n">
        <f aca="false">IF(A11&lt;=3,0,IF(B11=1,Benefits!$G$14*Assumptions!$B$41/9,Benefits!$G$14/12))</f>
        <v>74365.811965812</v>
      </c>
      <c r="K11" s="31" t="n">
        <f aca="false">IF(A11&lt;=3,0,IF(B11=1,Benefits!$G$15*Assumptions!$B$41/9,Benefits!$G$15/12))</f>
        <v>57600</v>
      </c>
      <c r="L11" s="31" t="n">
        <f aca="false">L10+G11</f>
        <v>379131.623931624</v>
      </c>
      <c r="M11" s="31" t="n">
        <f aca="false">M10+H11</f>
        <v>527863.247863248</v>
      </c>
      <c r="N11" s="31" t="n">
        <f aca="false">N10+I11</f>
        <v>750960.683760684</v>
      </c>
      <c r="O11" s="31" t="n">
        <f aca="false">O10+J11</f>
        <v>297463.247863248</v>
      </c>
      <c r="P11" s="31" t="n">
        <f aca="false">P10+K11</f>
        <v>230400</v>
      </c>
      <c r="Q11" s="55" t="str">
        <f aca="false">IF(L11&gt;=F11,A11,"")</f>
        <v/>
      </c>
      <c r="R11" s="55" t="str">
        <f aca="false">IF(M11&gt;=F11,A11,"")</f>
        <v/>
      </c>
      <c r="S11" s="55" t="n">
        <f aca="false">IF(N11&gt;=F11,A11,"")</f>
        <v>7</v>
      </c>
      <c r="T11" s="55" t="str">
        <f aca="false">IF(O11&gt;=F11,A11,"")</f>
        <v/>
      </c>
      <c r="U11" s="55" t="str">
        <f aca="false">IF(P11&gt;=F11,A11,"")</f>
        <v/>
      </c>
    </row>
    <row r="12" customFormat="false" ht="15" hidden="false" customHeight="false" outlineLevel="0" collapsed="false">
      <c r="A12" s="55" t="n">
        <v>8</v>
      </c>
      <c r="B12" s="55" t="n">
        <f aca="false">ROUNDUP(A12/12,0)</f>
        <v>1</v>
      </c>
      <c r="C12" s="31" t="n">
        <f aca="false">IF(A12&lt;=3,Costs!$D$12/3,IF(AND(A12&gt;=13,A12&lt;=15),Costs!$D$18/3,0))</f>
        <v>0</v>
      </c>
      <c r="D12" s="31" t="n">
        <f aca="false">IF(B12=1,Costs!$B$28/12,Costs!$C$28/12)</f>
        <v>4593.75</v>
      </c>
      <c r="E12" s="31" t="n">
        <f aca="false">C12+D12</f>
        <v>4593.75</v>
      </c>
      <c r="F12" s="31" t="n">
        <f aca="false">F11+E12</f>
        <v>747750</v>
      </c>
      <c r="G12" s="31" t="n">
        <f aca="false">IF(A12&lt;=3,0,IF(B12=1,Benefits!$G$11*Assumptions!$B$41/9,Benefits!$G$11/12))</f>
        <v>94782.905982906</v>
      </c>
      <c r="H12" s="31" t="n">
        <f aca="false">IF(A12&lt;=3,0,IF(B12=1,Benefits!$G$12*Assumptions!$B$41/9,Benefits!$G$12/12))</f>
        <v>131965.811965812</v>
      </c>
      <c r="I12" s="31" t="n">
        <f aca="false">IF(A12&lt;=3,0,IF(B12=1,Benefits!$G$13*Assumptions!$B$41/9,Benefits!$G$13/12))</f>
        <v>187740.170940171</v>
      </c>
      <c r="J12" s="31" t="n">
        <f aca="false">IF(A12&lt;=3,0,IF(B12=1,Benefits!$G$14*Assumptions!$B$41/9,Benefits!$G$14/12))</f>
        <v>74365.811965812</v>
      </c>
      <c r="K12" s="31" t="n">
        <f aca="false">IF(A12&lt;=3,0,IF(B12=1,Benefits!$G$15*Assumptions!$B$41/9,Benefits!$G$15/12))</f>
        <v>57600</v>
      </c>
      <c r="L12" s="31" t="n">
        <f aca="false">L11+G12</f>
        <v>473914.52991453</v>
      </c>
      <c r="M12" s="31" t="n">
        <f aca="false">M11+H12</f>
        <v>659829.05982906</v>
      </c>
      <c r="N12" s="31" t="n">
        <f aca="false">N11+I12</f>
        <v>938700.854700855</v>
      </c>
      <c r="O12" s="31" t="n">
        <f aca="false">O11+J12</f>
        <v>371829.05982906</v>
      </c>
      <c r="P12" s="31" t="n">
        <f aca="false">P11+K12</f>
        <v>288000</v>
      </c>
      <c r="Q12" s="55" t="str">
        <f aca="false">IF(L12&gt;=F12,A12,"")</f>
        <v/>
      </c>
      <c r="R12" s="55" t="str">
        <f aca="false">IF(M12&gt;=F12,A12,"")</f>
        <v/>
      </c>
      <c r="S12" s="55" t="n">
        <f aca="false">IF(N12&gt;=F12,A12,"")</f>
        <v>8</v>
      </c>
      <c r="T12" s="55" t="str">
        <f aca="false">IF(O12&gt;=F12,A12,"")</f>
        <v/>
      </c>
      <c r="U12" s="55" t="str">
        <f aca="false">IF(P12&gt;=F12,A12,"")</f>
        <v/>
      </c>
    </row>
    <row r="13" customFormat="false" ht="15" hidden="false" customHeight="false" outlineLevel="0" collapsed="false">
      <c r="A13" s="55" t="n">
        <v>9</v>
      </c>
      <c r="B13" s="55" t="n">
        <f aca="false">ROUNDUP(A13/12,0)</f>
        <v>1</v>
      </c>
      <c r="C13" s="31" t="n">
        <f aca="false">IF(A13&lt;=3,Costs!$D$12/3,IF(AND(A13&gt;=13,A13&lt;=15),Costs!$D$18/3,0))</f>
        <v>0</v>
      </c>
      <c r="D13" s="31" t="n">
        <f aca="false">IF(B13=1,Costs!$B$28/12,Costs!$C$28/12)</f>
        <v>4593.75</v>
      </c>
      <c r="E13" s="31" t="n">
        <f aca="false">C13+D13</f>
        <v>4593.75</v>
      </c>
      <c r="F13" s="31" t="n">
        <f aca="false">F12+E13</f>
        <v>752343.75</v>
      </c>
      <c r="G13" s="31" t="n">
        <f aca="false">IF(A13&lt;=3,0,IF(B13=1,Benefits!$G$11*Assumptions!$B$41/9,Benefits!$G$11/12))</f>
        <v>94782.905982906</v>
      </c>
      <c r="H13" s="31" t="n">
        <f aca="false">IF(A13&lt;=3,0,IF(B13=1,Benefits!$G$12*Assumptions!$B$41/9,Benefits!$G$12/12))</f>
        <v>131965.811965812</v>
      </c>
      <c r="I13" s="31" t="n">
        <f aca="false">IF(A13&lt;=3,0,IF(B13=1,Benefits!$G$13*Assumptions!$B$41/9,Benefits!$G$13/12))</f>
        <v>187740.170940171</v>
      </c>
      <c r="J13" s="31" t="n">
        <f aca="false">IF(A13&lt;=3,0,IF(B13=1,Benefits!$G$14*Assumptions!$B$41/9,Benefits!$G$14/12))</f>
        <v>74365.811965812</v>
      </c>
      <c r="K13" s="31" t="n">
        <f aca="false">IF(A13&lt;=3,0,IF(B13=1,Benefits!$G$15*Assumptions!$B$41/9,Benefits!$G$15/12))</f>
        <v>57600</v>
      </c>
      <c r="L13" s="31" t="n">
        <f aca="false">L12+G13</f>
        <v>568697.435897436</v>
      </c>
      <c r="M13" s="31" t="n">
        <f aca="false">M12+H13</f>
        <v>791794.871794872</v>
      </c>
      <c r="N13" s="31" t="n">
        <f aca="false">N12+I13</f>
        <v>1126441.02564103</v>
      </c>
      <c r="O13" s="31" t="n">
        <f aca="false">O12+J13</f>
        <v>446194.871794872</v>
      </c>
      <c r="P13" s="31" t="n">
        <f aca="false">P12+K13</f>
        <v>345600</v>
      </c>
      <c r="Q13" s="55" t="str">
        <f aca="false">IF(L13&gt;=F13,A13,"")</f>
        <v/>
      </c>
      <c r="R13" s="55" t="n">
        <f aca="false">IF(M13&gt;=F13,A13,"")</f>
        <v>9</v>
      </c>
      <c r="S13" s="55" t="n">
        <f aca="false">IF(N13&gt;=F13,A13,"")</f>
        <v>9</v>
      </c>
      <c r="T13" s="55" t="str">
        <f aca="false">IF(O13&gt;=F13,A13,"")</f>
        <v/>
      </c>
      <c r="U13" s="55" t="str">
        <f aca="false">IF(P13&gt;=F13,A13,"")</f>
        <v/>
      </c>
    </row>
    <row r="14" customFormat="false" ht="15" hidden="false" customHeight="false" outlineLevel="0" collapsed="false">
      <c r="A14" s="55" t="n">
        <v>10</v>
      </c>
      <c r="B14" s="55" t="n">
        <f aca="false">ROUNDUP(A14/12,0)</f>
        <v>1</v>
      </c>
      <c r="C14" s="31" t="n">
        <f aca="false">IF(A14&lt;=3,Costs!$D$12/3,IF(AND(A14&gt;=13,A14&lt;=15),Costs!$D$18/3,0))</f>
        <v>0</v>
      </c>
      <c r="D14" s="31" t="n">
        <f aca="false">IF(B14=1,Costs!$B$28/12,Costs!$C$28/12)</f>
        <v>4593.75</v>
      </c>
      <c r="E14" s="31" t="n">
        <f aca="false">C14+D14</f>
        <v>4593.75</v>
      </c>
      <c r="F14" s="31" t="n">
        <f aca="false">F13+E14</f>
        <v>756937.5</v>
      </c>
      <c r="G14" s="31" t="n">
        <f aca="false">IF(A14&lt;=3,0,IF(B14=1,Benefits!$G$11*Assumptions!$B$41/9,Benefits!$G$11/12))</f>
        <v>94782.905982906</v>
      </c>
      <c r="H14" s="31" t="n">
        <f aca="false">IF(A14&lt;=3,0,IF(B14=1,Benefits!$G$12*Assumptions!$B$41/9,Benefits!$G$12/12))</f>
        <v>131965.811965812</v>
      </c>
      <c r="I14" s="31" t="n">
        <f aca="false">IF(A14&lt;=3,0,IF(B14=1,Benefits!$G$13*Assumptions!$B$41/9,Benefits!$G$13/12))</f>
        <v>187740.170940171</v>
      </c>
      <c r="J14" s="31" t="n">
        <f aca="false">IF(A14&lt;=3,0,IF(B14=1,Benefits!$G$14*Assumptions!$B$41/9,Benefits!$G$14/12))</f>
        <v>74365.811965812</v>
      </c>
      <c r="K14" s="31" t="n">
        <f aca="false">IF(A14&lt;=3,0,IF(B14=1,Benefits!$G$15*Assumptions!$B$41/9,Benefits!$G$15/12))</f>
        <v>57600</v>
      </c>
      <c r="L14" s="31" t="n">
        <f aca="false">L13+G14</f>
        <v>663480.341880342</v>
      </c>
      <c r="M14" s="31" t="n">
        <f aca="false">M13+H14</f>
        <v>923760.683760684</v>
      </c>
      <c r="N14" s="31" t="n">
        <f aca="false">N13+I14</f>
        <v>1314181.1965812</v>
      </c>
      <c r="O14" s="31" t="n">
        <f aca="false">O13+J14</f>
        <v>520560.683760684</v>
      </c>
      <c r="P14" s="31" t="n">
        <f aca="false">P13+K14</f>
        <v>403200</v>
      </c>
      <c r="Q14" s="55" t="str">
        <f aca="false">IF(L14&gt;=F14,A14,"")</f>
        <v/>
      </c>
      <c r="R14" s="55" t="n">
        <f aca="false">IF(M14&gt;=F14,A14,"")</f>
        <v>10</v>
      </c>
      <c r="S14" s="55" t="n">
        <f aca="false">IF(N14&gt;=F14,A14,"")</f>
        <v>10</v>
      </c>
      <c r="T14" s="55" t="str">
        <f aca="false">IF(O14&gt;=F14,A14,"")</f>
        <v/>
      </c>
      <c r="U14" s="55" t="str">
        <f aca="false">IF(P14&gt;=F14,A14,"")</f>
        <v/>
      </c>
    </row>
    <row r="15" customFormat="false" ht="15" hidden="false" customHeight="false" outlineLevel="0" collapsed="false">
      <c r="A15" s="55" t="n">
        <v>11</v>
      </c>
      <c r="B15" s="55" t="n">
        <f aca="false">ROUNDUP(A15/12,0)</f>
        <v>1</v>
      </c>
      <c r="C15" s="31" t="n">
        <f aca="false">IF(A15&lt;=3,Costs!$D$12/3,IF(AND(A15&gt;=13,A15&lt;=15),Costs!$D$18/3,0))</f>
        <v>0</v>
      </c>
      <c r="D15" s="31" t="n">
        <f aca="false">IF(B15=1,Costs!$B$28/12,Costs!$C$28/12)</f>
        <v>4593.75</v>
      </c>
      <c r="E15" s="31" t="n">
        <f aca="false">C15+D15</f>
        <v>4593.75</v>
      </c>
      <c r="F15" s="31" t="n">
        <f aca="false">F14+E15</f>
        <v>761531.25</v>
      </c>
      <c r="G15" s="31" t="n">
        <f aca="false">IF(A15&lt;=3,0,IF(B15=1,Benefits!$G$11*Assumptions!$B$41/9,Benefits!$G$11/12))</f>
        <v>94782.905982906</v>
      </c>
      <c r="H15" s="31" t="n">
        <f aca="false">IF(A15&lt;=3,0,IF(B15=1,Benefits!$G$12*Assumptions!$B$41/9,Benefits!$G$12/12))</f>
        <v>131965.811965812</v>
      </c>
      <c r="I15" s="31" t="n">
        <f aca="false">IF(A15&lt;=3,0,IF(B15=1,Benefits!$G$13*Assumptions!$B$41/9,Benefits!$G$13/12))</f>
        <v>187740.170940171</v>
      </c>
      <c r="J15" s="31" t="n">
        <f aca="false">IF(A15&lt;=3,0,IF(B15=1,Benefits!$G$14*Assumptions!$B$41/9,Benefits!$G$14/12))</f>
        <v>74365.811965812</v>
      </c>
      <c r="K15" s="31" t="n">
        <f aca="false">IF(A15&lt;=3,0,IF(B15=1,Benefits!$G$15*Assumptions!$B$41/9,Benefits!$G$15/12))</f>
        <v>57600</v>
      </c>
      <c r="L15" s="31" t="n">
        <f aca="false">L14+G15</f>
        <v>758263.247863248</v>
      </c>
      <c r="M15" s="31" t="n">
        <f aca="false">M14+H15</f>
        <v>1055726.4957265</v>
      </c>
      <c r="N15" s="31" t="n">
        <f aca="false">N14+I15</f>
        <v>1501921.36752137</v>
      </c>
      <c r="O15" s="31" t="n">
        <f aca="false">O14+J15</f>
        <v>594926.495726496</v>
      </c>
      <c r="P15" s="31" t="n">
        <f aca="false">P14+K15</f>
        <v>460800</v>
      </c>
      <c r="Q15" s="55" t="str">
        <f aca="false">IF(L15&gt;=F15,A15,"")</f>
        <v/>
      </c>
      <c r="R15" s="55" t="n">
        <f aca="false">IF(M15&gt;=F15,A15,"")</f>
        <v>11</v>
      </c>
      <c r="S15" s="55" t="n">
        <f aca="false">IF(N15&gt;=F15,A15,"")</f>
        <v>11</v>
      </c>
      <c r="T15" s="55" t="str">
        <f aca="false">IF(O15&gt;=F15,A15,"")</f>
        <v/>
      </c>
      <c r="U15" s="55" t="str">
        <f aca="false">IF(P15&gt;=F15,A15,"")</f>
        <v/>
      </c>
    </row>
    <row r="16" customFormat="false" ht="15" hidden="false" customHeight="false" outlineLevel="0" collapsed="false">
      <c r="A16" s="55" t="n">
        <v>12</v>
      </c>
      <c r="B16" s="55" t="n">
        <f aca="false">ROUNDUP(A16/12,0)</f>
        <v>1</v>
      </c>
      <c r="C16" s="31" t="n">
        <f aca="false">IF(A16&lt;=3,Costs!$D$12/3,IF(AND(A16&gt;=13,A16&lt;=15),Costs!$D$18/3,0))</f>
        <v>0</v>
      </c>
      <c r="D16" s="31" t="n">
        <f aca="false">IF(B16=1,Costs!$B$28/12,Costs!$C$28/12)</f>
        <v>4593.75</v>
      </c>
      <c r="E16" s="31" t="n">
        <f aca="false">C16+D16</f>
        <v>4593.75</v>
      </c>
      <c r="F16" s="31" t="n">
        <f aca="false">F15+E16</f>
        <v>766125</v>
      </c>
      <c r="G16" s="31" t="n">
        <f aca="false">IF(A16&lt;=3,0,IF(B16=1,Benefits!$G$11*Assumptions!$B$41/9,Benefits!$G$11/12))</f>
        <v>94782.905982906</v>
      </c>
      <c r="H16" s="31" t="n">
        <f aca="false">IF(A16&lt;=3,0,IF(B16=1,Benefits!$G$12*Assumptions!$B$41/9,Benefits!$G$12/12))</f>
        <v>131965.811965812</v>
      </c>
      <c r="I16" s="31" t="n">
        <f aca="false">IF(A16&lt;=3,0,IF(B16=1,Benefits!$G$13*Assumptions!$B$41/9,Benefits!$G$13/12))</f>
        <v>187740.170940171</v>
      </c>
      <c r="J16" s="31" t="n">
        <f aca="false">IF(A16&lt;=3,0,IF(B16=1,Benefits!$G$14*Assumptions!$B$41/9,Benefits!$G$14/12))</f>
        <v>74365.811965812</v>
      </c>
      <c r="K16" s="31" t="n">
        <f aca="false">IF(A16&lt;=3,0,IF(B16=1,Benefits!$G$15*Assumptions!$B$41/9,Benefits!$G$15/12))</f>
        <v>57600</v>
      </c>
      <c r="L16" s="31" t="n">
        <f aca="false">L15+G16</f>
        <v>853046.153846154</v>
      </c>
      <c r="M16" s="31" t="n">
        <f aca="false">M15+H16</f>
        <v>1187692.30769231</v>
      </c>
      <c r="N16" s="31" t="n">
        <f aca="false">N15+I16</f>
        <v>1689661.53846154</v>
      </c>
      <c r="O16" s="31" t="n">
        <f aca="false">O15+J16</f>
        <v>669292.307692308</v>
      </c>
      <c r="P16" s="31" t="n">
        <f aca="false">P15+K16</f>
        <v>518400</v>
      </c>
      <c r="Q16" s="55" t="n">
        <f aca="false">IF(L16&gt;=F16,A16,"")</f>
        <v>12</v>
      </c>
      <c r="R16" s="55" t="n">
        <f aca="false">IF(M16&gt;=F16,A16,"")</f>
        <v>12</v>
      </c>
      <c r="S16" s="55" t="n">
        <f aca="false">IF(N16&gt;=F16,A16,"")</f>
        <v>12</v>
      </c>
      <c r="T16" s="55" t="str">
        <f aca="false">IF(O16&gt;=F16,A16,"")</f>
        <v/>
      </c>
      <c r="U16" s="55" t="str">
        <f aca="false">IF(P16&gt;=F16,A16,"")</f>
        <v/>
      </c>
    </row>
    <row r="17" customFormat="false" ht="15" hidden="false" customHeight="false" outlineLevel="0" collapsed="false">
      <c r="A17" s="55" t="n">
        <v>13</v>
      </c>
      <c r="B17" s="55" t="n">
        <f aca="false">ROUNDUP(A17/12,0)</f>
        <v>2</v>
      </c>
      <c r="C17" s="31" t="n">
        <f aca="false">IF(A17&lt;=3,Costs!$D$12/3,IF(AND(A17&gt;=13,A17&lt;=15),Costs!$D$18/3,0))</f>
        <v>54000</v>
      </c>
      <c r="D17" s="31" t="n">
        <f aca="false">IF(B17=1,Costs!$B$28/12,Costs!$C$28/12)</f>
        <v>5093.75</v>
      </c>
      <c r="E17" s="31" t="n">
        <f aca="false">C17+D17</f>
        <v>59093.75</v>
      </c>
      <c r="F17" s="31" t="n">
        <f aca="false">F16+E17</f>
        <v>825218.75</v>
      </c>
      <c r="G17" s="31" t="n">
        <f aca="false">IF(A17&lt;=3,0,IF(B17=1,Benefits!$G$11*Assumptions!$B$41/9,Benefits!$G$11/12))</f>
        <v>177717.948717949</v>
      </c>
      <c r="H17" s="31" t="n">
        <f aca="false">IF(A17&lt;=3,0,IF(B17=1,Benefits!$G$12*Assumptions!$B$41/9,Benefits!$G$12/12))</f>
        <v>247435.897435897</v>
      </c>
      <c r="I17" s="31" t="n">
        <f aca="false">IF(A17&lt;=3,0,IF(B17=1,Benefits!$G$13*Assumptions!$B$41/9,Benefits!$G$13/12))</f>
        <v>352012.820512821</v>
      </c>
      <c r="J17" s="31" t="n">
        <f aca="false">IF(A17&lt;=3,0,IF(B17=1,Benefits!$G$14*Assumptions!$B$41/9,Benefits!$G$14/12))</f>
        <v>139435.897435897</v>
      </c>
      <c r="K17" s="31" t="n">
        <f aca="false">IF(A17&lt;=3,0,IF(B17=1,Benefits!$G$15*Assumptions!$B$41/9,Benefits!$G$15/12))</f>
        <v>108000</v>
      </c>
      <c r="L17" s="31" t="n">
        <f aca="false">L16+G17</f>
        <v>1030764.1025641</v>
      </c>
      <c r="M17" s="31" t="n">
        <f aca="false">M16+H17</f>
        <v>1435128.20512821</v>
      </c>
      <c r="N17" s="31" t="n">
        <f aca="false">N16+I17</f>
        <v>2041674.35897436</v>
      </c>
      <c r="O17" s="31" t="n">
        <f aca="false">O16+J17</f>
        <v>808728.205128205</v>
      </c>
      <c r="P17" s="31" t="n">
        <f aca="false">P16+K17</f>
        <v>626400</v>
      </c>
      <c r="Q17" s="55" t="n">
        <f aca="false">IF(L17&gt;=F17,A17,"")</f>
        <v>13</v>
      </c>
      <c r="R17" s="55" t="n">
        <f aca="false">IF(M17&gt;=F17,A17,"")</f>
        <v>13</v>
      </c>
      <c r="S17" s="55" t="n">
        <f aca="false">IF(N17&gt;=F17,A17,"")</f>
        <v>13</v>
      </c>
      <c r="T17" s="55" t="str">
        <f aca="false">IF(O17&gt;=F17,A17,"")</f>
        <v/>
      </c>
      <c r="U17" s="55" t="str">
        <f aca="false">IF(P17&gt;=F17,A17,"")</f>
        <v/>
      </c>
    </row>
    <row r="18" customFormat="false" ht="15" hidden="false" customHeight="false" outlineLevel="0" collapsed="false">
      <c r="A18" s="55" t="n">
        <v>14</v>
      </c>
      <c r="B18" s="55" t="n">
        <f aca="false">ROUNDUP(A18/12,0)</f>
        <v>2</v>
      </c>
      <c r="C18" s="31" t="n">
        <f aca="false">IF(A18&lt;=3,Costs!$D$12/3,IF(AND(A18&gt;=13,A18&lt;=15),Costs!$D$18/3,0))</f>
        <v>54000</v>
      </c>
      <c r="D18" s="31" t="n">
        <f aca="false">IF(B18=1,Costs!$B$28/12,Costs!$C$28/12)</f>
        <v>5093.75</v>
      </c>
      <c r="E18" s="31" t="n">
        <f aca="false">C18+D18</f>
        <v>59093.75</v>
      </c>
      <c r="F18" s="31" t="n">
        <f aca="false">F17+E18</f>
        <v>884312.5</v>
      </c>
      <c r="G18" s="31" t="n">
        <f aca="false">IF(A18&lt;=3,0,IF(B18=1,Benefits!$G$11*Assumptions!$B$41/9,Benefits!$G$11/12))</f>
        <v>177717.948717949</v>
      </c>
      <c r="H18" s="31" t="n">
        <f aca="false">IF(A18&lt;=3,0,IF(B18=1,Benefits!$G$12*Assumptions!$B$41/9,Benefits!$G$12/12))</f>
        <v>247435.897435897</v>
      </c>
      <c r="I18" s="31" t="n">
        <f aca="false">IF(A18&lt;=3,0,IF(B18=1,Benefits!$G$13*Assumptions!$B$41/9,Benefits!$G$13/12))</f>
        <v>352012.820512821</v>
      </c>
      <c r="J18" s="31" t="n">
        <f aca="false">IF(A18&lt;=3,0,IF(B18=1,Benefits!$G$14*Assumptions!$B$41/9,Benefits!$G$14/12))</f>
        <v>139435.897435897</v>
      </c>
      <c r="K18" s="31" t="n">
        <f aca="false">IF(A18&lt;=3,0,IF(B18=1,Benefits!$G$15*Assumptions!$B$41/9,Benefits!$G$15/12))</f>
        <v>108000</v>
      </c>
      <c r="L18" s="31" t="n">
        <f aca="false">L17+G18</f>
        <v>1208482.05128205</v>
      </c>
      <c r="M18" s="31" t="n">
        <f aca="false">M17+H18</f>
        <v>1682564.1025641</v>
      </c>
      <c r="N18" s="31" t="n">
        <f aca="false">N17+I18</f>
        <v>2393687.17948718</v>
      </c>
      <c r="O18" s="31" t="n">
        <f aca="false">O17+J18</f>
        <v>948164.102564103</v>
      </c>
      <c r="P18" s="31" t="n">
        <f aca="false">P17+K18</f>
        <v>734400</v>
      </c>
      <c r="Q18" s="55" t="n">
        <f aca="false">IF(L18&gt;=F18,A18,"")</f>
        <v>14</v>
      </c>
      <c r="R18" s="55" t="n">
        <f aca="false">IF(M18&gt;=F18,A18,"")</f>
        <v>14</v>
      </c>
      <c r="S18" s="55" t="n">
        <f aca="false">IF(N18&gt;=F18,A18,"")</f>
        <v>14</v>
      </c>
      <c r="T18" s="55" t="n">
        <f aca="false">IF(O18&gt;=F18,A18,"")</f>
        <v>14</v>
      </c>
      <c r="U18" s="55" t="str">
        <f aca="false">IF(P18&gt;=F18,A18,"")</f>
        <v/>
      </c>
    </row>
    <row r="19" customFormat="false" ht="15" hidden="false" customHeight="false" outlineLevel="0" collapsed="false">
      <c r="A19" s="55" t="n">
        <v>15</v>
      </c>
      <c r="B19" s="55" t="n">
        <f aca="false">ROUNDUP(A19/12,0)</f>
        <v>2</v>
      </c>
      <c r="C19" s="31" t="n">
        <f aca="false">IF(A19&lt;=3,Costs!$D$12/3,IF(AND(A19&gt;=13,A19&lt;=15),Costs!$D$18/3,0))</f>
        <v>54000</v>
      </c>
      <c r="D19" s="31" t="n">
        <f aca="false">IF(B19=1,Costs!$B$28/12,Costs!$C$28/12)</f>
        <v>5093.75</v>
      </c>
      <c r="E19" s="31" t="n">
        <f aca="false">C19+D19</f>
        <v>59093.75</v>
      </c>
      <c r="F19" s="31" t="n">
        <f aca="false">F18+E19</f>
        <v>943406.25</v>
      </c>
      <c r="G19" s="31" t="n">
        <f aca="false">IF(A19&lt;=3,0,IF(B19=1,Benefits!$G$11*Assumptions!$B$41/9,Benefits!$G$11/12))</f>
        <v>177717.948717949</v>
      </c>
      <c r="H19" s="31" t="n">
        <f aca="false">IF(A19&lt;=3,0,IF(B19=1,Benefits!$G$12*Assumptions!$B$41/9,Benefits!$G$12/12))</f>
        <v>247435.897435897</v>
      </c>
      <c r="I19" s="31" t="n">
        <f aca="false">IF(A19&lt;=3,0,IF(B19=1,Benefits!$G$13*Assumptions!$B$41/9,Benefits!$G$13/12))</f>
        <v>352012.820512821</v>
      </c>
      <c r="J19" s="31" t="n">
        <f aca="false">IF(A19&lt;=3,0,IF(B19=1,Benefits!$G$14*Assumptions!$B$41/9,Benefits!$G$14/12))</f>
        <v>139435.897435897</v>
      </c>
      <c r="K19" s="31" t="n">
        <f aca="false">IF(A19&lt;=3,0,IF(B19=1,Benefits!$G$15*Assumptions!$B$41/9,Benefits!$G$15/12))</f>
        <v>108000</v>
      </c>
      <c r="L19" s="31" t="n">
        <f aca="false">L18+G19</f>
        <v>1386200</v>
      </c>
      <c r="M19" s="31" t="n">
        <f aca="false">M18+H19</f>
        <v>1930000</v>
      </c>
      <c r="N19" s="31" t="n">
        <f aca="false">N18+I19</f>
        <v>2745700</v>
      </c>
      <c r="O19" s="31" t="n">
        <f aca="false">O18+J19</f>
        <v>1087600</v>
      </c>
      <c r="P19" s="31" t="n">
        <f aca="false">P18+K19</f>
        <v>842400</v>
      </c>
      <c r="Q19" s="55" t="n">
        <f aca="false">IF(L19&gt;=F19,A19,"")</f>
        <v>15</v>
      </c>
      <c r="R19" s="55" t="n">
        <f aca="false">IF(M19&gt;=F19,A19,"")</f>
        <v>15</v>
      </c>
      <c r="S19" s="55" t="n">
        <f aca="false">IF(N19&gt;=F19,A19,"")</f>
        <v>15</v>
      </c>
      <c r="T19" s="55" t="n">
        <f aca="false">IF(O19&gt;=F19,A19,"")</f>
        <v>15</v>
      </c>
      <c r="U19" s="55" t="str">
        <f aca="false">IF(P19&gt;=F19,A19,"")</f>
        <v/>
      </c>
    </row>
    <row r="20" customFormat="false" ht="15" hidden="false" customHeight="false" outlineLevel="0" collapsed="false">
      <c r="A20" s="55" t="n">
        <v>16</v>
      </c>
      <c r="B20" s="55" t="n">
        <f aca="false">ROUNDUP(A20/12,0)</f>
        <v>2</v>
      </c>
      <c r="C20" s="31" t="n">
        <f aca="false">IF(A20&lt;=3,Costs!$D$12/3,IF(AND(A20&gt;=13,A20&lt;=15),Costs!$D$18/3,0))</f>
        <v>0</v>
      </c>
      <c r="D20" s="31" t="n">
        <f aca="false">IF(B20=1,Costs!$B$28/12,Costs!$C$28/12)</f>
        <v>5093.75</v>
      </c>
      <c r="E20" s="31" t="n">
        <f aca="false">C20+D20</f>
        <v>5093.75</v>
      </c>
      <c r="F20" s="31" t="n">
        <f aca="false">F19+E20</f>
        <v>948500</v>
      </c>
      <c r="G20" s="31" t="n">
        <f aca="false">IF(A20&lt;=3,0,IF(B20=1,Benefits!$G$11*Assumptions!$B$41/9,Benefits!$G$11/12))</f>
        <v>177717.948717949</v>
      </c>
      <c r="H20" s="31" t="n">
        <f aca="false">IF(A20&lt;=3,0,IF(B20=1,Benefits!$G$12*Assumptions!$B$41/9,Benefits!$G$12/12))</f>
        <v>247435.897435897</v>
      </c>
      <c r="I20" s="31" t="n">
        <f aca="false">IF(A20&lt;=3,0,IF(B20=1,Benefits!$G$13*Assumptions!$B$41/9,Benefits!$G$13/12))</f>
        <v>352012.820512821</v>
      </c>
      <c r="J20" s="31" t="n">
        <f aca="false">IF(A20&lt;=3,0,IF(B20=1,Benefits!$G$14*Assumptions!$B$41/9,Benefits!$G$14/12))</f>
        <v>139435.897435897</v>
      </c>
      <c r="K20" s="31" t="n">
        <f aca="false">IF(A20&lt;=3,0,IF(B20=1,Benefits!$G$15*Assumptions!$B$41/9,Benefits!$G$15/12))</f>
        <v>108000</v>
      </c>
      <c r="L20" s="31" t="n">
        <f aca="false">L19+G20</f>
        <v>1563917.94871795</v>
      </c>
      <c r="M20" s="31" t="n">
        <f aca="false">M19+H20</f>
        <v>2177435.8974359</v>
      </c>
      <c r="N20" s="31" t="n">
        <f aca="false">N19+I20</f>
        <v>3097712.82051282</v>
      </c>
      <c r="O20" s="31" t="n">
        <f aca="false">O19+J20</f>
        <v>1227035.8974359</v>
      </c>
      <c r="P20" s="31" t="n">
        <f aca="false">P19+K20</f>
        <v>950400</v>
      </c>
      <c r="Q20" s="55" t="n">
        <f aca="false">IF(L20&gt;=F20,A20,"")</f>
        <v>16</v>
      </c>
      <c r="R20" s="55" t="n">
        <f aca="false">IF(M20&gt;=F20,A20,"")</f>
        <v>16</v>
      </c>
      <c r="S20" s="55" t="n">
        <f aca="false">IF(N20&gt;=F20,A20,"")</f>
        <v>16</v>
      </c>
      <c r="T20" s="55" t="n">
        <f aca="false">IF(O20&gt;=F20,A20,"")</f>
        <v>16</v>
      </c>
      <c r="U20" s="55" t="n">
        <f aca="false">IF(P20&gt;=F20,A20,"")</f>
        <v>16</v>
      </c>
    </row>
    <row r="21" customFormat="false" ht="15" hidden="false" customHeight="false" outlineLevel="0" collapsed="false">
      <c r="A21" s="55" t="n">
        <v>17</v>
      </c>
      <c r="B21" s="55" t="n">
        <f aca="false">ROUNDUP(A21/12,0)</f>
        <v>2</v>
      </c>
      <c r="C21" s="31" t="n">
        <f aca="false">IF(A21&lt;=3,Costs!$D$12/3,IF(AND(A21&gt;=13,A21&lt;=15),Costs!$D$18/3,0))</f>
        <v>0</v>
      </c>
      <c r="D21" s="31" t="n">
        <f aca="false">IF(B21=1,Costs!$B$28/12,Costs!$C$28/12)</f>
        <v>5093.75</v>
      </c>
      <c r="E21" s="31" t="n">
        <f aca="false">C21+D21</f>
        <v>5093.75</v>
      </c>
      <c r="F21" s="31" t="n">
        <f aca="false">F20+E21</f>
        <v>953593.75</v>
      </c>
      <c r="G21" s="31" t="n">
        <f aca="false">IF(A21&lt;=3,0,IF(B21=1,Benefits!$G$11*Assumptions!$B$41/9,Benefits!$G$11/12))</f>
        <v>177717.948717949</v>
      </c>
      <c r="H21" s="31" t="n">
        <f aca="false">IF(A21&lt;=3,0,IF(B21=1,Benefits!$G$12*Assumptions!$B$41/9,Benefits!$G$12/12))</f>
        <v>247435.897435897</v>
      </c>
      <c r="I21" s="31" t="n">
        <f aca="false">IF(A21&lt;=3,0,IF(B21=1,Benefits!$G$13*Assumptions!$B$41/9,Benefits!$G$13/12))</f>
        <v>352012.820512821</v>
      </c>
      <c r="J21" s="31" t="n">
        <f aca="false">IF(A21&lt;=3,0,IF(B21=1,Benefits!$G$14*Assumptions!$B$41/9,Benefits!$G$14/12))</f>
        <v>139435.897435897</v>
      </c>
      <c r="K21" s="31" t="n">
        <f aca="false">IF(A21&lt;=3,0,IF(B21=1,Benefits!$G$15*Assumptions!$B$41/9,Benefits!$G$15/12))</f>
        <v>108000</v>
      </c>
      <c r="L21" s="31" t="n">
        <f aca="false">L20+G21</f>
        <v>1741635.8974359</v>
      </c>
      <c r="M21" s="31" t="n">
        <f aca="false">M20+H21</f>
        <v>2424871.7948718</v>
      </c>
      <c r="N21" s="31" t="n">
        <f aca="false">N20+I21</f>
        <v>3449725.64102564</v>
      </c>
      <c r="O21" s="31" t="n">
        <f aca="false">O20+J21</f>
        <v>1366471.7948718</v>
      </c>
      <c r="P21" s="31" t="n">
        <f aca="false">P20+K21</f>
        <v>1058400</v>
      </c>
      <c r="Q21" s="55" t="n">
        <f aca="false">IF(L21&gt;=F21,A21,"")</f>
        <v>17</v>
      </c>
      <c r="R21" s="55" t="n">
        <f aca="false">IF(M21&gt;=F21,A21,"")</f>
        <v>17</v>
      </c>
      <c r="S21" s="55" t="n">
        <f aca="false">IF(N21&gt;=F21,A21,"")</f>
        <v>17</v>
      </c>
      <c r="T21" s="55" t="n">
        <f aca="false">IF(O21&gt;=F21,A21,"")</f>
        <v>17</v>
      </c>
      <c r="U21" s="55" t="n">
        <f aca="false">IF(P21&gt;=F21,A21,"")</f>
        <v>17</v>
      </c>
    </row>
    <row r="22" customFormat="false" ht="15" hidden="false" customHeight="false" outlineLevel="0" collapsed="false">
      <c r="A22" s="55" t="n">
        <v>18</v>
      </c>
      <c r="B22" s="55" t="n">
        <f aca="false">ROUNDUP(A22/12,0)</f>
        <v>2</v>
      </c>
      <c r="C22" s="31" t="n">
        <f aca="false">IF(A22&lt;=3,Costs!$D$12/3,IF(AND(A22&gt;=13,A22&lt;=15),Costs!$D$18/3,0))</f>
        <v>0</v>
      </c>
      <c r="D22" s="31" t="n">
        <f aca="false">IF(B22=1,Costs!$B$28/12,Costs!$C$28/12)</f>
        <v>5093.75</v>
      </c>
      <c r="E22" s="31" t="n">
        <f aca="false">C22+D22</f>
        <v>5093.75</v>
      </c>
      <c r="F22" s="31" t="n">
        <f aca="false">F21+E22</f>
        <v>958687.5</v>
      </c>
      <c r="G22" s="31" t="n">
        <f aca="false">IF(A22&lt;=3,0,IF(B22=1,Benefits!$G$11*Assumptions!$B$41/9,Benefits!$G$11/12))</f>
        <v>177717.948717949</v>
      </c>
      <c r="H22" s="31" t="n">
        <f aca="false">IF(A22&lt;=3,0,IF(B22=1,Benefits!$G$12*Assumptions!$B$41/9,Benefits!$G$12/12))</f>
        <v>247435.897435897</v>
      </c>
      <c r="I22" s="31" t="n">
        <f aca="false">IF(A22&lt;=3,0,IF(B22=1,Benefits!$G$13*Assumptions!$B$41/9,Benefits!$G$13/12))</f>
        <v>352012.820512821</v>
      </c>
      <c r="J22" s="31" t="n">
        <f aca="false">IF(A22&lt;=3,0,IF(B22=1,Benefits!$G$14*Assumptions!$B$41/9,Benefits!$G$14/12))</f>
        <v>139435.897435897</v>
      </c>
      <c r="K22" s="31" t="n">
        <f aca="false">IF(A22&lt;=3,0,IF(B22=1,Benefits!$G$15*Assumptions!$B$41/9,Benefits!$G$15/12))</f>
        <v>108000</v>
      </c>
      <c r="L22" s="31" t="n">
        <f aca="false">L21+G22</f>
        <v>1919353.84615385</v>
      </c>
      <c r="M22" s="31" t="n">
        <f aca="false">M21+H22</f>
        <v>2672307.69230769</v>
      </c>
      <c r="N22" s="31" t="n">
        <f aca="false">N21+I22</f>
        <v>3801738.46153846</v>
      </c>
      <c r="O22" s="31" t="n">
        <f aca="false">O21+J22</f>
        <v>1505907.69230769</v>
      </c>
      <c r="P22" s="31" t="n">
        <f aca="false">P21+K22</f>
        <v>1166400</v>
      </c>
      <c r="Q22" s="55" t="n">
        <f aca="false">IF(L22&gt;=F22,A22,"")</f>
        <v>18</v>
      </c>
      <c r="R22" s="55" t="n">
        <f aca="false">IF(M22&gt;=F22,A22,"")</f>
        <v>18</v>
      </c>
      <c r="S22" s="55" t="n">
        <f aca="false">IF(N22&gt;=F22,A22,"")</f>
        <v>18</v>
      </c>
      <c r="T22" s="55" t="n">
        <f aca="false">IF(O22&gt;=F22,A22,"")</f>
        <v>18</v>
      </c>
      <c r="U22" s="55" t="n">
        <f aca="false">IF(P22&gt;=F22,A22,"")</f>
        <v>18</v>
      </c>
    </row>
    <row r="23" customFormat="false" ht="15" hidden="false" customHeight="false" outlineLevel="0" collapsed="false">
      <c r="A23" s="55" t="n">
        <v>19</v>
      </c>
      <c r="B23" s="55" t="n">
        <f aca="false">ROUNDUP(A23/12,0)</f>
        <v>2</v>
      </c>
      <c r="C23" s="31" t="n">
        <f aca="false">IF(A23&lt;=3,Costs!$D$12/3,IF(AND(A23&gt;=13,A23&lt;=15),Costs!$D$18/3,0))</f>
        <v>0</v>
      </c>
      <c r="D23" s="31" t="n">
        <f aca="false">IF(B23=1,Costs!$B$28/12,Costs!$C$28/12)</f>
        <v>5093.75</v>
      </c>
      <c r="E23" s="31" t="n">
        <f aca="false">C23+D23</f>
        <v>5093.75</v>
      </c>
      <c r="F23" s="31" t="n">
        <f aca="false">F22+E23</f>
        <v>963781.25</v>
      </c>
      <c r="G23" s="31" t="n">
        <f aca="false">IF(A23&lt;=3,0,IF(B23=1,Benefits!$G$11*Assumptions!$B$41/9,Benefits!$G$11/12))</f>
        <v>177717.948717949</v>
      </c>
      <c r="H23" s="31" t="n">
        <f aca="false">IF(A23&lt;=3,0,IF(B23=1,Benefits!$G$12*Assumptions!$B$41/9,Benefits!$G$12/12))</f>
        <v>247435.897435897</v>
      </c>
      <c r="I23" s="31" t="n">
        <f aca="false">IF(A23&lt;=3,0,IF(B23=1,Benefits!$G$13*Assumptions!$B$41/9,Benefits!$G$13/12))</f>
        <v>352012.820512821</v>
      </c>
      <c r="J23" s="31" t="n">
        <f aca="false">IF(A23&lt;=3,0,IF(B23=1,Benefits!$G$14*Assumptions!$B$41/9,Benefits!$G$14/12))</f>
        <v>139435.897435897</v>
      </c>
      <c r="K23" s="31" t="n">
        <f aca="false">IF(A23&lt;=3,0,IF(B23=1,Benefits!$G$15*Assumptions!$B$41/9,Benefits!$G$15/12))</f>
        <v>108000</v>
      </c>
      <c r="L23" s="31" t="n">
        <f aca="false">L22+G23</f>
        <v>2097071.7948718</v>
      </c>
      <c r="M23" s="31" t="n">
        <f aca="false">M22+H23</f>
        <v>2919743.58974359</v>
      </c>
      <c r="N23" s="31" t="n">
        <f aca="false">N22+I23</f>
        <v>4153751.28205128</v>
      </c>
      <c r="O23" s="31" t="n">
        <f aca="false">O22+J23</f>
        <v>1645343.58974359</v>
      </c>
      <c r="P23" s="31" t="n">
        <f aca="false">P22+K23</f>
        <v>1274400</v>
      </c>
      <c r="Q23" s="55" t="n">
        <f aca="false">IF(L23&gt;=F23,A23,"")</f>
        <v>19</v>
      </c>
      <c r="R23" s="55" t="n">
        <f aca="false">IF(M23&gt;=F23,A23,"")</f>
        <v>19</v>
      </c>
      <c r="S23" s="55" t="n">
        <f aca="false">IF(N23&gt;=F23,A23,"")</f>
        <v>19</v>
      </c>
      <c r="T23" s="55" t="n">
        <f aca="false">IF(O23&gt;=F23,A23,"")</f>
        <v>19</v>
      </c>
      <c r="U23" s="55" t="n">
        <f aca="false">IF(P23&gt;=F23,A23,"")</f>
        <v>19</v>
      </c>
    </row>
    <row r="24" customFormat="false" ht="15" hidden="false" customHeight="false" outlineLevel="0" collapsed="false">
      <c r="A24" s="55" t="n">
        <v>20</v>
      </c>
      <c r="B24" s="55" t="n">
        <f aca="false">ROUNDUP(A24/12,0)</f>
        <v>2</v>
      </c>
      <c r="C24" s="31" t="n">
        <f aca="false">IF(A24&lt;=3,Costs!$D$12/3,IF(AND(A24&gt;=13,A24&lt;=15),Costs!$D$18/3,0))</f>
        <v>0</v>
      </c>
      <c r="D24" s="31" t="n">
        <f aca="false">IF(B24=1,Costs!$B$28/12,Costs!$C$28/12)</f>
        <v>5093.75</v>
      </c>
      <c r="E24" s="31" t="n">
        <f aca="false">C24+D24</f>
        <v>5093.75</v>
      </c>
      <c r="F24" s="31" t="n">
        <f aca="false">F23+E24</f>
        <v>968875</v>
      </c>
      <c r="G24" s="31" t="n">
        <f aca="false">IF(A24&lt;=3,0,IF(B24=1,Benefits!$G$11*Assumptions!$B$41/9,Benefits!$G$11/12))</f>
        <v>177717.948717949</v>
      </c>
      <c r="H24" s="31" t="n">
        <f aca="false">IF(A24&lt;=3,0,IF(B24=1,Benefits!$G$12*Assumptions!$B$41/9,Benefits!$G$12/12))</f>
        <v>247435.897435897</v>
      </c>
      <c r="I24" s="31" t="n">
        <f aca="false">IF(A24&lt;=3,0,IF(B24=1,Benefits!$G$13*Assumptions!$B$41/9,Benefits!$G$13/12))</f>
        <v>352012.820512821</v>
      </c>
      <c r="J24" s="31" t="n">
        <f aca="false">IF(A24&lt;=3,0,IF(B24=1,Benefits!$G$14*Assumptions!$B$41/9,Benefits!$G$14/12))</f>
        <v>139435.897435897</v>
      </c>
      <c r="K24" s="31" t="n">
        <f aca="false">IF(A24&lt;=3,0,IF(B24=1,Benefits!$G$15*Assumptions!$B$41/9,Benefits!$G$15/12))</f>
        <v>108000</v>
      </c>
      <c r="L24" s="31" t="n">
        <f aca="false">L23+G24</f>
        <v>2274789.74358974</v>
      </c>
      <c r="M24" s="31" t="n">
        <f aca="false">M23+H24</f>
        <v>3167179.48717949</v>
      </c>
      <c r="N24" s="31" t="n">
        <f aca="false">N23+I24</f>
        <v>4505764.1025641</v>
      </c>
      <c r="O24" s="31" t="n">
        <f aca="false">O23+J24</f>
        <v>1784779.48717949</v>
      </c>
      <c r="P24" s="31" t="n">
        <f aca="false">P23+K24</f>
        <v>1382400</v>
      </c>
      <c r="Q24" s="55" t="n">
        <f aca="false">IF(L24&gt;=F24,A24,"")</f>
        <v>20</v>
      </c>
      <c r="R24" s="55" t="n">
        <f aca="false">IF(M24&gt;=F24,A24,"")</f>
        <v>20</v>
      </c>
      <c r="S24" s="55" t="n">
        <f aca="false">IF(N24&gt;=F24,A24,"")</f>
        <v>20</v>
      </c>
      <c r="T24" s="55" t="n">
        <f aca="false">IF(O24&gt;=F24,A24,"")</f>
        <v>20</v>
      </c>
      <c r="U24" s="55" t="n">
        <f aca="false">IF(P24&gt;=F24,A24,"")</f>
        <v>20</v>
      </c>
    </row>
    <row r="25" customFormat="false" ht="15" hidden="false" customHeight="false" outlineLevel="0" collapsed="false">
      <c r="A25" s="55" t="n">
        <v>21</v>
      </c>
      <c r="B25" s="55" t="n">
        <f aca="false">ROUNDUP(A25/12,0)</f>
        <v>2</v>
      </c>
      <c r="C25" s="31" t="n">
        <f aca="false">IF(A25&lt;=3,Costs!$D$12/3,IF(AND(A25&gt;=13,A25&lt;=15),Costs!$D$18/3,0))</f>
        <v>0</v>
      </c>
      <c r="D25" s="31" t="n">
        <f aca="false">IF(B25=1,Costs!$B$28/12,Costs!$C$28/12)</f>
        <v>5093.75</v>
      </c>
      <c r="E25" s="31" t="n">
        <f aca="false">C25+D25</f>
        <v>5093.75</v>
      </c>
      <c r="F25" s="31" t="n">
        <f aca="false">F24+E25</f>
        <v>973968.75</v>
      </c>
      <c r="G25" s="31" t="n">
        <f aca="false">IF(A25&lt;=3,0,IF(B25=1,Benefits!$G$11*Assumptions!$B$41/9,Benefits!$G$11/12))</f>
        <v>177717.948717949</v>
      </c>
      <c r="H25" s="31" t="n">
        <f aca="false">IF(A25&lt;=3,0,IF(B25=1,Benefits!$G$12*Assumptions!$B$41/9,Benefits!$G$12/12))</f>
        <v>247435.897435897</v>
      </c>
      <c r="I25" s="31" t="n">
        <f aca="false">IF(A25&lt;=3,0,IF(B25=1,Benefits!$G$13*Assumptions!$B$41/9,Benefits!$G$13/12))</f>
        <v>352012.820512821</v>
      </c>
      <c r="J25" s="31" t="n">
        <f aca="false">IF(A25&lt;=3,0,IF(B25=1,Benefits!$G$14*Assumptions!$B$41/9,Benefits!$G$14/12))</f>
        <v>139435.897435897</v>
      </c>
      <c r="K25" s="31" t="n">
        <f aca="false">IF(A25&lt;=3,0,IF(B25=1,Benefits!$G$15*Assumptions!$B$41/9,Benefits!$G$15/12))</f>
        <v>108000</v>
      </c>
      <c r="L25" s="31" t="n">
        <f aca="false">L24+G25</f>
        <v>2452507.69230769</v>
      </c>
      <c r="M25" s="31" t="n">
        <f aca="false">M24+H25</f>
        <v>3414615.38461539</v>
      </c>
      <c r="N25" s="31" t="n">
        <f aca="false">N24+I25</f>
        <v>4857776.92307692</v>
      </c>
      <c r="O25" s="31" t="n">
        <f aca="false">O24+J25</f>
        <v>1924215.38461539</v>
      </c>
      <c r="P25" s="31" t="n">
        <f aca="false">P24+K25</f>
        <v>1490400</v>
      </c>
      <c r="Q25" s="55" t="n">
        <f aca="false">IF(L25&gt;=F25,A25,"")</f>
        <v>21</v>
      </c>
      <c r="R25" s="55" t="n">
        <f aca="false">IF(M25&gt;=F25,A25,"")</f>
        <v>21</v>
      </c>
      <c r="S25" s="55" t="n">
        <f aca="false">IF(N25&gt;=F25,A25,"")</f>
        <v>21</v>
      </c>
      <c r="T25" s="55" t="n">
        <f aca="false">IF(O25&gt;=F25,A25,"")</f>
        <v>21</v>
      </c>
      <c r="U25" s="55" t="n">
        <f aca="false">IF(P25&gt;=F25,A25,"")</f>
        <v>21</v>
      </c>
    </row>
    <row r="26" customFormat="false" ht="15" hidden="false" customHeight="false" outlineLevel="0" collapsed="false">
      <c r="A26" s="55" t="n">
        <v>22</v>
      </c>
      <c r="B26" s="55" t="n">
        <f aca="false">ROUNDUP(A26/12,0)</f>
        <v>2</v>
      </c>
      <c r="C26" s="31" t="n">
        <f aca="false">IF(A26&lt;=3,Costs!$D$12/3,IF(AND(A26&gt;=13,A26&lt;=15),Costs!$D$18/3,0))</f>
        <v>0</v>
      </c>
      <c r="D26" s="31" t="n">
        <f aca="false">IF(B26=1,Costs!$B$28/12,Costs!$C$28/12)</f>
        <v>5093.75</v>
      </c>
      <c r="E26" s="31" t="n">
        <f aca="false">C26+D26</f>
        <v>5093.75</v>
      </c>
      <c r="F26" s="31" t="n">
        <f aca="false">F25+E26</f>
        <v>979062.5</v>
      </c>
      <c r="G26" s="31" t="n">
        <f aca="false">IF(A26&lt;=3,0,IF(B26=1,Benefits!$G$11*Assumptions!$B$41/9,Benefits!$G$11/12))</f>
        <v>177717.948717949</v>
      </c>
      <c r="H26" s="31" t="n">
        <f aca="false">IF(A26&lt;=3,0,IF(B26=1,Benefits!$G$12*Assumptions!$B$41/9,Benefits!$G$12/12))</f>
        <v>247435.897435897</v>
      </c>
      <c r="I26" s="31" t="n">
        <f aca="false">IF(A26&lt;=3,0,IF(B26=1,Benefits!$G$13*Assumptions!$B$41/9,Benefits!$G$13/12))</f>
        <v>352012.820512821</v>
      </c>
      <c r="J26" s="31" t="n">
        <f aca="false">IF(A26&lt;=3,0,IF(B26=1,Benefits!$G$14*Assumptions!$B$41/9,Benefits!$G$14/12))</f>
        <v>139435.897435897</v>
      </c>
      <c r="K26" s="31" t="n">
        <f aca="false">IF(A26&lt;=3,0,IF(B26=1,Benefits!$G$15*Assumptions!$B$41/9,Benefits!$G$15/12))</f>
        <v>108000</v>
      </c>
      <c r="L26" s="31" t="n">
        <f aca="false">L25+G26</f>
        <v>2630225.64102564</v>
      </c>
      <c r="M26" s="31" t="n">
        <f aca="false">M25+H26</f>
        <v>3662051.28205128</v>
      </c>
      <c r="N26" s="31" t="n">
        <f aca="false">N25+I26</f>
        <v>5209789.74358974</v>
      </c>
      <c r="O26" s="31" t="n">
        <f aca="false">O25+J26</f>
        <v>2063651.28205128</v>
      </c>
      <c r="P26" s="31" t="n">
        <f aca="false">P25+K26</f>
        <v>1598400</v>
      </c>
      <c r="Q26" s="55" t="n">
        <f aca="false">IF(L26&gt;=F26,A26,"")</f>
        <v>22</v>
      </c>
      <c r="R26" s="55" t="n">
        <f aca="false">IF(M26&gt;=F26,A26,"")</f>
        <v>22</v>
      </c>
      <c r="S26" s="55" t="n">
        <f aca="false">IF(N26&gt;=F26,A26,"")</f>
        <v>22</v>
      </c>
      <c r="T26" s="55" t="n">
        <f aca="false">IF(O26&gt;=F26,A26,"")</f>
        <v>22</v>
      </c>
      <c r="U26" s="55" t="n">
        <f aca="false">IF(P26&gt;=F26,A26,"")</f>
        <v>22</v>
      </c>
    </row>
    <row r="27" customFormat="false" ht="15" hidden="false" customHeight="false" outlineLevel="0" collapsed="false">
      <c r="A27" s="55" t="n">
        <v>23</v>
      </c>
      <c r="B27" s="55" t="n">
        <f aca="false">ROUNDUP(A27/12,0)</f>
        <v>2</v>
      </c>
      <c r="C27" s="31" t="n">
        <f aca="false">IF(A27&lt;=3,Costs!$D$12/3,IF(AND(A27&gt;=13,A27&lt;=15),Costs!$D$18/3,0))</f>
        <v>0</v>
      </c>
      <c r="D27" s="31" t="n">
        <f aca="false">IF(B27=1,Costs!$B$28/12,Costs!$C$28/12)</f>
        <v>5093.75</v>
      </c>
      <c r="E27" s="31" t="n">
        <f aca="false">C27+D27</f>
        <v>5093.75</v>
      </c>
      <c r="F27" s="31" t="n">
        <f aca="false">F26+E27</f>
        <v>984156.25</v>
      </c>
      <c r="G27" s="31" t="n">
        <f aca="false">IF(A27&lt;=3,0,IF(B27=1,Benefits!$G$11*Assumptions!$B$41/9,Benefits!$G$11/12))</f>
        <v>177717.948717949</v>
      </c>
      <c r="H27" s="31" t="n">
        <f aca="false">IF(A27&lt;=3,0,IF(B27=1,Benefits!$G$12*Assumptions!$B$41/9,Benefits!$G$12/12))</f>
        <v>247435.897435897</v>
      </c>
      <c r="I27" s="31" t="n">
        <f aca="false">IF(A27&lt;=3,0,IF(B27=1,Benefits!$G$13*Assumptions!$B$41/9,Benefits!$G$13/12))</f>
        <v>352012.820512821</v>
      </c>
      <c r="J27" s="31" t="n">
        <f aca="false">IF(A27&lt;=3,0,IF(B27=1,Benefits!$G$14*Assumptions!$B$41/9,Benefits!$G$14/12))</f>
        <v>139435.897435897</v>
      </c>
      <c r="K27" s="31" t="n">
        <f aca="false">IF(A27&lt;=3,0,IF(B27=1,Benefits!$G$15*Assumptions!$B$41/9,Benefits!$G$15/12))</f>
        <v>108000</v>
      </c>
      <c r="L27" s="31" t="n">
        <f aca="false">L26+G27</f>
        <v>2807943.58974359</v>
      </c>
      <c r="M27" s="31" t="n">
        <f aca="false">M26+H27</f>
        <v>3909487.17948718</v>
      </c>
      <c r="N27" s="31" t="n">
        <f aca="false">N26+I27</f>
        <v>5561802.56410256</v>
      </c>
      <c r="O27" s="31" t="n">
        <f aca="false">O26+J27</f>
        <v>2203087.17948718</v>
      </c>
      <c r="P27" s="31" t="n">
        <f aca="false">P26+K27</f>
        <v>1706400</v>
      </c>
      <c r="Q27" s="55" t="n">
        <f aca="false">IF(L27&gt;=F27,A27,"")</f>
        <v>23</v>
      </c>
      <c r="R27" s="55" t="n">
        <f aca="false">IF(M27&gt;=F27,A27,"")</f>
        <v>23</v>
      </c>
      <c r="S27" s="55" t="n">
        <f aca="false">IF(N27&gt;=F27,A27,"")</f>
        <v>23</v>
      </c>
      <c r="T27" s="55" t="n">
        <f aca="false">IF(O27&gt;=F27,A27,"")</f>
        <v>23</v>
      </c>
      <c r="U27" s="55" t="n">
        <f aca="false">IF(P27&gt;=F27,A27,"")</f>
        <v>23</v>
      </c>
    </row>
    <row r="28" customFormat="false" ht="15" hidden="false" customHeight="false" outlineLevel="0" collapsed="false">
      <c r="A28" s="55" t="n">
        <v>24</v>
      </c>
      <c r="B28" s="55" t="n">
        <f aca="false">ROUNDUP(A28/12,0)</f>
        <v>2</v>
      </c>
      <c r="C28" s="31" t="n">
        <f aca="false">IF(A28&lt;=3,Costs!$D$12/3,IF(AND(A28&gt;=13,A28&lt;=15),Costs!$D$18/3,0))</f>
        <v>0</v>
      </c>
      <c r="D28" s="31" t="n">
        <f aca="false">IF(B28=1,Costs!$B$28/12,Costs!$C$28/12)</f>
        <v>5093.75</v>
      </c>
      <c r="E28" s="31" t="n">
        <f aca="false">C28+D28</f>
        <v>5093.75</v>
      </c>
      <c r="F28" s="31" t="n">
        <f aca="false">F27+E28</f>
        <v>989250</v>
      </c>
      <c r="G28" s="31" t="n">
        <f aca="false">IF(A28&lt;=3,0,IF(B28=1,Benefits!$G$11*Assumptions!$B$41/9,Benefits!$G$11/12))</f>
        <v>177717.948717949</v>
      </c>
      <c r="H28" s="31" t="n">
        <f aca="false">IF(A28&lt;=3,0,IF(B28=1,Benefits!$G$12*Assumptions!$B$41/9,Benefits!$G$12/12))</f>
        <v>247435.897435897</v>
      </c>
      <c r="I28" s="31" t="n">
        <f aca="false">IF(A28&lt;=3,0,IF(B28=1,Benefits!$G$13*Assumptions!$B$41/9,Benefits!$G$13/12))</f>
        <v>352012.820512821</v>
      </c>
      <c r="J28" s="31" t="n">
        <f aca="false">IF(A28&lt;=3,0,IF(B28=1,Benefits!$G$14*Assumptions!$B$41/9,Benefits!$G$14/12))</f>
        <v>139435.897435897</v>
      </c>
      <c r="K28" s="31" t="n">
        <f aca="false">IF(A28&lt;=3,0,IF(B28=1,Benefits!$G$15*Assumptions!$B$41/9,Benefits!$G$15/12))</f>
        <v>108000</v>
      </c>
      <c r="L28" s="31" t="n">
        <f aca="false">L27+G28</f>
        <v>2985661.53846154</v>
      </c>
      <c r="M28" s="31" t="n">
        <f aca="false">M27+H28</f>
        <v>4156923.07692308</v>
      </c>
      <c r="N28" s="31" t="n">
        <f aca="false">N27+I28</f>
        <v>5913815.38461538</v>
      </c>
      <c r="O28" s="31" t="n">
        <f aca="false">O27+J28</f>
        <v>2342523.07692308</v>
      </c>
      <c r="P28" s="31" t="n">
        <f aca="false">P27+K28</f>
        <v>1814400</v>
      </c>
      <c r="Q28" s="55" t="n">
        <f aca="false">IF(L28&gt;=F28,A28,"")</f>
        <v>24</v>
      </c>
      <c r="R28" s="55" t="n">
        <f aca="false">IF(M28&gt;=F28,A28,"")</f>
        <v>24</v>
      </c>
      <c r="S28" s="55" t="n">
        <f aca="false">IF(N28&gt;=F28,A28,"")</f>
        <v>24</v>
      </c>
      <c r="T28" s="55" t="n">
        <f aca="false">IF(O28&gt;=F28,A28,"")</f>
        <v>24</v>
      </c>
      <c r="U28" s="55" t="n">
        <f aca="false">IF(P28&gt;=F28,A28,"")</f>
        <v>24</v>
      </c>
    </row>
    <row r="29" customFormat="false" ht="15" hidden="false" customHeight="false" outlineLevel="0" collapsed="false">
      <c r="A29" s="55" t="n">
        <v>25</v>
      </c>
      <c r="B29" s="55" t="n">
        <f aca="false">ROUNDUP(A29/12,0)</f>
        <v>3</v>
      </c>
      <c r="C29" s="31" t="n">
        <f aca="false">IF(A29&lt;=3,Costs!$D$12/3,IF(AND(A29&gt;=13,A29&lt;=15),Costs!$D$18/3,0))</f>
        <v>0</v>
      </c>
      <c r="D29" s="31" t="n">
        <f aca="false">IF(B29=1,Costs!$B$28/12,Costs!$C$28/12)</f>
        <v>5093.75</v>
      </c>
      <c r="E29" s="31" t="n">
        <f aca="false">C29+D29</f>
        <v>5093.75</v>
      </c>
      <c r="F29" s="31" t="n">
        <f aca="false">F28+E29</f>
        <v>994343.75</v>
      </c>
      <c r="G29" s="31" t="n">
        <f aca="false">IF(A29&lt;=3,0,IF(B29=1,Benefits!$G$11*Assumptions!$B$41/9,Benefits!$G$11/12))</f>
        <v>177717.948717949</v>
      </c>
      <c r="H29" s="31" t="n">
        <f aca="false">IF(A29&lt;=3,0,IF(B29=1,Benefits!$G$12*Assumptions!$B$41/9,Benefits!$G$12/12))</f>
        <v>247435.897435897</v>
      </c>
      <c r="I29" s="31" t="n">
        <f aca="false">IF(A29&lt;=3,0,IF(B29=1,Benefits!$G$13*Assumptions!$B$41/9,Benefits!$G$13/12))</f>
        <v>352012.820512821</v>
      </c>
      <c r="J29" s="31" t="n">
        <f aca="false">IF(A29&lt;=3,0,IF(B29=1,Benefits!$G$14*Assumptions!$B$41/9,Benefits!$G$14/12))</f>
        <v>139435.897435897</v>
      </c>
      <c r="K29" s="31" t="n">
        <f aca="false">IF(A29&lt;=3,0,IF(B29=1,Benefits!$G$15*Assumptions!$B$41/9,Benefits!$G$15/12))</f>
        <v>108000</v>
      </c>
      <c r="L29" s="31" t="n">
        <f aca="false">L28+G29</f>
        <v>3163379.48717949</v>
      </c>
      <c r="M29" s="31" t="n">
        <f aca="false">M28+H29</f>
        <v>4404358.97435898</v>
      </c>
      <c r="N29" s="31" t="n">
        <f aca="false">N28+I29</f>
        <v>6265828.2051282</v>
      </c>
      <c r="O29" s="31" t="n">
        <f aca="false">O28+J29</f>
        <v>2481958.97435898</v>
      </c>
      <c r="P29" s="31" t="n">
        <f aca="false">P28+K29</f>
        <v>1922400</v>
      </c>
      <c r="Q29" s="55" t="n">
        <f aca="false">IF(L29&gt;=F29,A29,"")</f>
        <v>25</v>
      </c>
      <c r="R29" s="55" t="n">
        <f aca="false">IF(M29&gt;=F29,A29,"")</f>
        <v>25</v>
      </c>
      <c r="S29" s="55" t="n">
        <f aca="false">IF(N29&gt;=F29,A29,"")</f>
        <v>25</v>
      </c>
      <c r="T29" s="55" t="n">
        <f aca="false">IF(O29&gt;=F29,A29,"")</f>
        <v>25</v>
      </c>
      <c r="U29" s="55" t="n">
        <f aca="false">IF(P29&gt;=F29,A29,"")</f>
        <v>25</v>
      </c>
    </row>
    <row r="30" customFormat="false" ht="15" hidden="false" customHeight="false" outlineLevel="0" collapsed="false">
      <c r="A30" s="55" t="n">
        <v>26</v>
      </c>
      <c r="B30" s="55" t="n">
        <f aca="false">ROUNDUP(A30/12,0)</f>
        <v>3</v>
      </c>
      <c r="C30" s="31" t="n">
        <f aca="false">IF(A30&lt;=3,Costs!$D$12/3,IF(AND(A30&gt;=13,A30&lt;=15),Costs!$D$18/3,0))</f>
        <v>0</v>
      </c>
      <c r="D30" s="31" t="n">
        <f aca="false">IF(B30=1,Costs!$B$28/12,Costs!$C$28/12)</f>
        <v>5093.75</v>
      </c>
      <c r="E30" s="31" t="n">
        <f aca="false">C30+D30</f>
        <v>5093.75</v>
      </c>
      <c r="F30" s="31" t="n">
        <f aca="false">F29+E30</f>
        <v>999437.5</v>
      </c>
      <c r="G30" s="31" t="n">
        <f aca="false">IF(A30&lt;=3,0,IF(B30=1,Benefits!$G$11*Assumptions!$B$41/9,Benefits!$G$11/12))</f>
        <v>177717.948717949</v>
      </c>
      <c r="H30" s="31" t="n">
        <f aca="false">IF(A30&lt;=3,0,IF(B30=1,Benefits!$G$12*Assumptions!$B$41/9,Benefits!$G$12/12))</f>
        <v>247435.897435897</v>
      </c>
      <c r="I30" s="31" t="n">
        <f aca="false">IF(A30&lt;=3,0,IF(B30=1,Benefits!$G$13*Assumptions!$B$41/9,Benefits!$G$13/12))</f>
        <v>352012.820512821</v>
      </c>
      <c r="J30" s="31" t="n">
        <f aca="false">IF(A30&lt;=3,0,IF(B30=1,Benefits!$G$14*Assumptions!$B$41/9,Benefits!$G$14/12))</f>
        <v>139435.897435897</v>
      </c>
      <c r="K30" s="31" t="n">
        <f aca="false">IF(A30&lt;=3,0,IF(B30=1,Benefits!$G$15*Assumptions!$B$41/9,Benefits!$G$15/12))</f>
        <v>108000</v>
      </c>
      <c r="L30" s="31" t="n">
        <f aca="false">L29+G30</f>
        <v>3341097.43589743</v>
      </c>
      <c r="M30" s="31" t="n">
        <f aca="false">M29+H30</f>
        <v>4651794.87179487</v>
      </c>
      <c r="N30" s="31" t="n">
        <f aca="false">N29+I30</f>
        <v>6617841.02564102</v>
      </c>
      <c r="O30" s="31" t="n">
        <f aca="false">O29+J30</f>
        <v>2621394.87179487</v>
      </c>
      <c r="P30" s="31" t="n">
        <f aca="false">P29+K30</f>
        <v>2030400</v>
      </c>
      <c r="Q30" s="55" t="n">
        <f aca="false">IF(L30&gt;=F30,A30,"")</f>
        <v>26</v>
      </c>
      <c r="R30" s="55" t="n">
        <f aca="false">IF(M30&gt;=F30,A30,"")</f>
        <v>26</v>
      </c>
      <c r="S30" s="55" t="n">
        <f aca="false">IF(N30&gt;=F30,A30,"")</f>
        <v>26</v>
      </c>
      <c r="T30" s="55" t="n">
        <f aca="false">IF(O30&gt;=F30,A30,"")</f>
        <v>26</v>
      </c>
      <c r="U30" s="55" t="n">
        <f aca="false">IF(P30&gt;=F30,A30,"")</f>
        <v>26</v>
      </c>
    </row>
    <row r="31" customFormat="false" ht="15" hidden="false" customHeight="false" outlineLevel="0" collapsed="false">
      <c r="A31" s="55" t="n">
        <v>27</v>
      </c>
      <c r="B31" s="55" t="n">
        <f aca="false">ROUNDUP(A31/12,0)</f>
        <v>3</v>
      </c>
      <c r="C31" s="31" t="n">
        <f aca="false">IF(A31&lt;=3,Costs!$D$12/3,IF(AND(A31&gt;=13,A31&lt;=15),Costs!$D$18/3,0))</f>
        <v>0</v>
      </c>
      <c r="D31" s="31" t="n">
        <f aca="false">IF(B31=1,Costs!$B$28/12,Costs!$C$28/12)</f>
        <v>5093.75</v>
      </c>
      <c r="E31" s="31" t="n">
        <f aca="false">C31+D31</f>
        <v>5093.75</v>
      </c>
      <c r="F31" s="31" t="n">
        <f aca="false">F30+E31</f>
        <v>1004531.25</v>
      </c>
      <c r="G31" s="31" t="n">
        <f aca="false">IF(A31&lt;=3,0,IF(B31=1,Benefits!$G$11*Assumptions!$B$41/9,Benefits!$G$11/12))</f>
        <v>177717.948717949</v>
      </c>
      <c r="H31" s="31" t="n">
        <f aca="false">IF(A31&lt;=3,0,IF(B31=1,Benefits!$G$12*Assumptions!$B$41/9,Benefits!$G$12/12))</f>
        <v>247435.897435897</v>
      </c>
      <c r="I31" s="31" t="n">
        <f aca="false">IF(A31&lt;=3,0,IF(B31=1,Benefits!$G$13*Assumptions!$B$41/9,Benefits!$G$13/12))</f>
        <v>352012.820512821</v>
      </c>
      <c r="J31" s="31" t="n">
        <f aca="false">IF(A31&lt;=3,0,IF(B31=1,Benefits!$G$14*Assumptions!$B$41/9,Benefits!$G$14/12))</f>
        <v>139435.897435897</v>
      </c>
      <c r="K31" s="31" t="n">
        <f aca="false">IF(A31&lt;=3,0,IF(B31=1,Benefits!$G$15*Assumptions!$B$41/9,Benefits!$G$15/12))</f>
        <v>108000</v>
      </c>
      <c r="L31" s="31" t="n">
        <f aca="false">L30+G31</f>
        <v>3518815.38461538</v>
      </c>
      <c r="M31" s="31" t="n">
        <f aca="false">M30+H31</f>
        <v>4899230.76923077</v>
      </c>
      <c r="N31" s="31" t="n">
        <f aca="false">N30+I31</f>
        <v>6969853.84615384</v>
      </c>
      <c r="O31" s="31" t="n">
        <f aca="false">O30+J31</f>
        <v>2760830.76923077</v>
      </c>
      <c r="P31" s="31" t="n">
        <f aca="false">P30+K31</f>
        <v>2138400</v>
      </c>
      <c r="Q31" s="55" t="n">
        <f aca="false">IF(L31&gt;=F31,A31,"")</f>
        <v>27</v>
      </c>
      <c r="R31" s="55" t="n">
        <f aca="false">IF(M31&gt;=F31,A31,"")</f>
        <v>27</v>
      </c>
      <c r="S31" s="55" t="n">
        <f aca="false">IF(N31&gt;=F31,A31,"")</f>
        <v>27</v>
      </c>
      <c r="T31" s="55" t="n">
        <f aca="false">IF(O31&gt;=F31,A31,"")</f>
        <v>27</v>
      </c>
      <c r="U31" s="55" t="n">
        <f aca="false">IF(P31&gt;=F31,A31,"")</f>
        <v>27</v>
      </c>
    </row>
    <row r="32" customFormat="false" ht="15" hidden="false" customHeight="false" outlineLevel="0" collapsed="false">
      <c r="A32" s="55" t="n">
        <v>28</v>
      </c>
      <c r="B32" s="55" t="n">
        <f aca="false">ROUNDUP(A32/12,0)</f>
        <v>3</v>
      </c>
      <c r="C32" s="31" t="n">
        <f aca="false">IF(A32&lt;=3,Costs!$D$12/3,IF(AND(A32&gt;=13,A32&lt;=15),Costs!$D$18/3,0))</f>
        <v>0</v>
      </c>
      <c r="D32" s="31" t="n">
        <f aca="false">IF(B32=1,Costs!$B$28/12,Costs!$C$28/12)</f>
        <v>5093.75</v>
      </c>
      <c r="E32" s="31" t="n">
        <f aca="false">C32+D32</f>
        <v>5093.75</v>
      </c>
      <c r="F32" s="31" t="n">
        <f aca="false">F31+E32</f>
        <v>1009625</v>
      </c>
      <c r="G32" s="31" t="n">
        <f aca="false">IF(A32&lt;=3,0,IF(B32=1,Benefits!$G$11*Assumptions!$B$41/9,Benefits!$G$11/12))</f>
        <v>177717.948717949</v>
      </c>
      <c r="H32" s="31" t="n">
        <f aca="false">IF(A32&lt;=3,0,IF(B32=1,Benefits!$G$12*Assumptions!$B$41/9,Benefits!$G$12/12))</f>
        <v>247435.897435897</v>
      </c>
      <c r="I32" s="31" t="n">
        <f aca="false">IF(A32&lt;=3,0,IF(B32=1,Benefits!$G$13*Assumptions!$B$41/9,Benefits!$G$13/12))</f>
        <v>352012.820512821</v>
      </c>
      <c r="J32" s="31" t="n">
        <f aca="false">IF(A32&lt;=3,0,IF(B32=1,Benefits!$G$14*Assumptions!$B$41/9,Benefits!$G$14/12))</f>
        <v>139435.897435897</v>
      </c>
      <c r="K32" s="31" t="n">
        <f aca="false">IF(A32&lt;=3,0,IF(B32=1,Benefits!$G$15*Assumptions!$B$41/9,Benefits!$G$15/12))</f>
        <v>108000</v>
      </c>
      <c r="L32" s="31" t="n">
        <f aca="false">L31+G32</f>
        <v>3696533.33333333</v>
      </c>
      <c r="M32" s="31" t="n">
        <f aca="false">M31+H32</f>
        <v>5146666.66666667</v>
      </c>
      <c r="N32" s="31" t="n">
        <f aca="false">N31+I32</f>
        <v>7321866.66666666</v>
      </c>
      <c r="O32" s="31" t="n">
        <f aca="false">O31+J32</f>
        <v>2900266.66666667</v>
      </c>
      <c r="P32" s="31" t="n">
        <f aca="false">P31+K32</f>
        <v>2246400</v>
      </c>
      <c r="Q32" s="55" t="n">
        <f aca="false">IF(L32&gt;=F32,A32,"")</f>
        <v>28</v>
      </c>
      <c r="R32" s="55" t="n">
        <f aca="false">IF(M32&gt;=F32,A32,"")</f>
        <v>28</v>
      </c>
      <c r="S32" s="55" t="n">
        <f aca="false">IF(N32&gt;=F32,A32,"")</f>
        <v>28</v>
      </c>
      <c r="T32" s="55" t="n">
        <f aca="false">IF(O32&gt;=F32,A32,"")</f>
        <v>28</v>
      </c>
      <c r="U32" s="55" t="n">
        <f aca="false">IF(P32&gt;=F32,A32,"")</f>
        <v>28</v>
      </c>
    </row>
    <row r="33" customFormat="false" ht="15" hidden="false" customHeight="false" outlineLevel="0" collapsed="false">
      <c r="A33" s="55" t="n">
        <v>29</v>
      </c>
      <c r="B33" s="55" t="n">
        <f aca="false">ROUNDUP(A33/12,0)</f>
        <v>3</v>
      </c>
      <c r="C33" s="31" t="n">
        <f aca="false">IF(A33&lt;=3,Costs!$D$12/3,IF(AND(A33&gt;=13,A33&lt;=15),Costs!$D$18/3,0))</f>
        <v>0</v>
      </c>
      <c r="D33" s="31" t="n">
        <f aca="false">IF(B33=1,Costs!$B$28/12,Costs!$C$28/12)</f>
        <v>5093.75</v>
      </c>
      <c r="E33" s="31" t="n">
        <f aca="false">C33+D33</f>
        <v>5093.75</v>
      </c>
      <c r="F33" s="31" t="n">
        <f aca="false">F32+E33</f>
        <v>1014718.75</v>
      </c>
      <c r="G33" s="31" t="n">
        <f aca="false">IF(A33&lt;=3,0,IF(B33=1,Benefits!$G$11*Assumptions!$B$41/9,Benefits!$G$11/12))</f>
        <v>177717.948717949</v>
      </c>
      <c r="H33" s="31" t="n">
        <f aca="false">IF(A33&lt;=3,0,IF(B33=1,Benefits!$G$12*Assumptions!$B$41/9,Benefits!$G$12/12))</f>
        <v>247435.897435897</v>
      </c>
      <c r="I33" s="31" t="n">
        <f aca="false">IF(A33&lt;=3,0,IF(B33=1,Benefits!$G$13*Assumptions!$B$41/9,Benefits!$G$13/12))</f>
        <v>352012.820512821</v>
      </c>
      <c r="J33" s="31" t="n">
        <f aca="false">IF(A33&lt;=3,0,IF(B33=1,Benefits!$G$14*Assumptions!$B$41/9,Benefits!$G$14/12))</f>
        <v>139435.897435897</v>
      </c>
      <c r="K33" s="31" t="n">
        <f aca="false">IF(A33&lt;=3,0,IF(B33=1,Benefits!$G$15*Assumptions!$B$41/9,Benefits!$G$15/12))</f>
        <v>108000</v>
      </c>
      <c r="L33" s="31" t="n">
        <f aca="false">L32+G33</f>
        <v>3874251.28205128</v>
      </c>
      <c r="M33" s="31" t="n">
        <f aca="false">M32+H33</f>
        <v>5394102.56410256</v>
      </c>
      <c r="N33" s="31" t="n">
        <f aca="false">N32+I33</f>
        <v>7673879.48717948</v>
      </c>
      <c r="O33" s="31" t="n">
        <f aca="false">O32+J33</f>
        <v>3039702.56410257</v>
      </c>
      <c r="P33" s="31" t="n">
        <f aca="false">P32+K33</f>
        <v>2354400</v>
      </c>
      <c r="Q33" s="55" t="n">
        <f aca="false">IF(L33&gt;=F33,A33,"")</f>
        <v>29</v>
      </c>
      <c r="R33" s="55" t="n">
        <f aca="false">IF(M33&gt;=F33,A33,"")</f>
        <v>29</v>
      </c>
      <c r="S33" s="55" t="n">
        <f aca="false">IF(N33&gt;=F33,A33,"")</f>
        <v>29</v>
      </c>
      <c r="T33" s="55" t="n">
        <f aca="false">IF(O33&gt;=F33,A33,"")</f>
        <v>29</v>
      </c>
      <c r="U33" s="55" t="n">
        <f aca="false">IF(P33&gt;=F33,A33,"")</f>
        <v>29</v>
      </c>
    </row>
    <row r="34" customFormat="false" ht="15" hidden="false" customHeight="false" outlineLevel="0" collapsed="false">
      <c r="A34" s="55" t="n">
        <v>30</v>
      </c>
      <c r="B34" s="55" t="n">
        <f aca="false">ROUNDUP(A34/12,0)</f>
        <v>3</v>
      </c>
      <c r="C34" s="31" t="n">
        <f aca="false">IF(A34&lt;=3,Costs!$D$12/3,IF(AND(A34&gt;=13,A34&lt;=15),Costs!$D$18/3,0))</f>
        <v>0</v>
      </c>
      <c r="D34" s="31" t="n">
        <f aca="false">IF(B34=1,Costs!$B$28/12,Costs!$C$28/12)</f>
        <v>5093.75</v>
      </c>
      <c r="E34" s="31" t="n">
        <f aca="false">C34+D34</f>
        <v>5093.75</v>
      </c>
      <c r="F34" s="31" t="n">
        <f aca="false">F33+E34</f>
        <v>1019812.5</v>
      </c>
      <c r="G34" s="31" t="n">
        <f aca="false">IF(A34&lt;=3,0,IF(B34=1,Benefits!$G$11*Assumptions!$B$41/9,Benefits!$G$11/12))</f>
        <v>177717.948717949</v>
      </c>
      <c r="H34" s="31" t="n">
        <f aca="false">IF(A34&lt;=3,0,IF(B34=1,Benefits!$G$12*Assumptions!$B$41/9,Benefits!$G$12/12))</f>
        <v>247435.897435897</v>
      </c>
      <c r="I34" s="31" t="n">
        <f aca="false">IF(A34&lt;=3,0,IF(B34=1,Benefits!$G$13*Assumptions!$B$41/9,Benefits!$G$13/12))</f>
        <v>352012.820512821</v>
      </c>
      <c r="J34" s="31" t="n">
        <f aca="false">IF(A34&lt;=3,0,IF(B34=1,Benefits!$G$14*Assumptions!$B$41/9,Benefits!$G$14/12))</f>
        <v>139435.897435897</v>
      </c>
      <c r="K34" s="31" t="n">
        <f aca="false">IF(A34&lt;=3,0,IF(B34=1,Benefits!$G$15*Assumptions!$B$41/9,Benefits!$G$15/12))</f>
        <v>108000</v>
      </c>
      <c r="L34" s="31" t="n">
        <f aca="false">L33+G34</f>
        <v>4051969.23076923</v>
      </c>
      <c r="M34" s="31" t="n">
        <f aca="false">M33+H34</f>
        <v>5641538.46153846</v>
      </c>
      <c r="N34" s="31" t="n">
        <f aca="false">N33+I34</f>
        <v>8025892.3076923</v>
      </c>
      <c r="O34" s="31" t="n">
        <f aca="false">O33+J34</f>
        <v>3179138.46153846</v>
      </c>
      <c r="P34" s="31" t="n">
        <f aca="false">P33+K34</f>
        <v>2462400</v>
      </c>
      <c r="Q34" s="55" t="n">
        <f aca="false">IF(L34&gt;=F34,A34,"")</f>
        <v>30</v>
      </c>
      <c r="R34" s="55" t="n">
        <f aca="false">IF(M34&gt;=F34,A34,"")</f>
        <v>30</v>
      </c>
      <c r="S34" s="55" t="n">
        <f aca="false">IF(N34&gt;=F34,A34,"")</f>
        <v>30</v>
      </c>
      <c r="T34" s="55" t="n">
        <f aca="false">IF(O34&gt;=F34,A34,"")</f>
        <v>30</v>
      </c>
      <c r="U34" s="55" t="n">
        <f aca="false">IF(P34&gt;=F34,A34,"")</f>
        <v>30</v>
      </c>
    </row>
    <row r="35" customFormat="false" ht="15" hidden="false" customHeight="false" outlineLevel="0" collapsed="false">
      <c r="A35" s="55" t="n">
        <v>31</v>
      </c>
      <c r="B35" s="55" t="n">
        <f aca="false">ROUNDUP(A35/12,0)</f>
        <v>3</v>
      </c>
      <c r="C35" s="31" t="n">
        <f aca="false">IF(A35&lt;=3,Costs!$D$12/3,IF(AND(A35&gt;=13,A35&lt;=15),Costs!$D$18/3,0))</f>
        <v>0</v>
      </c>
      <c r="D35" s="31" t="n">
        <f aca="false">IF(B35=1,Costs!$B$28/12,Costs!$C$28/12)</f>
        <v>5093.75</v>
      </c>
      <c r="E35" s="31" t="n">
        <f aca="false">C35+D35</f>
        <v>5093.75</v>
      </c>
      <c r="F35" s="31" t="n">
        <f aca="false">F34+E35</f>
        <v>1024906.25</v>
      </c>
      <c r="G35" s="31" t="n">
        <f aca="false">IF(A35&lt;=3,0,IF(B35=1,Benefits!$G$11*Assumptions!$B$41/9,Benefits!$G$11/12))</f>
        <v>177717.948717949</v>
      </c>
      <c r="H35" s="31" t="n">
        <f aca="false">IF(A35&lt;=3,0,IF(B35=1,Benefits!$G$12*Assumptions!$B$41/9,Benefits!$G$12/12))</f>
        <v>247435.897435897</v>
      </c>
      <c r="I35" s="31" t="n">
        <f aca="false">IF(A35&lt;=3,0,IF(B35=1,Benefits!$G$13*Assumptions!$B$41/9,Benefits!$G$13/12))</f>
        <v>352012.820512821</v>
      </c>
      <c r="J35" s="31" t="n">
        <f aca="false">IF(A35&lt;=3,0,IF(B35=1,Benefits!$G$14*Assumptions!$B$41/9,Benefits!$G$14/12))</f>
        <v>139435.897435897</v>
      </c>
      <c r="K35" s="31" t="n">
        <f aca="false">IF(A35&lt;=3,0,IF(B35=1,Benefits!$G$15*Assumptions!$B$41/9,Benefits!$G$15/12))</f>
        <v>108000</v>
      </c>
      <c r="L35" s="31" t="n">
        <f aca="false">L34+G35</f>
        <v>4229687.17948718</v>
      </c>
      <c r="M35" s="31" t="n">
        <f aca="false">M34+H35</f>
        <v>5888974.35897436</v>
      </c>
      <c r="N35" s="31" t="n">
        <f aca="false">N34+I35</f>
        <v>8377905.12820512</v>
      </c>
      <c r="O35" s="31" t="n">
        <f aca="false">O34+J35</f>
        <v>3318574.35897436</v>
      </c>
      <c r="P35" s="31" t="n">
        <f aca="false">P34+K35</f>
        <v>2570400</v>
      </c>
      <c r="Q35" s="55" t="n">
        <f aca="false">IF(L35&gt;=F35,A35,"")</f>
        <v>31</v>
      </c>
      <c r="R35" s="55" t="n">
        <f aca="false">IF(M35&gt;=F35,A35,"")</f>
        <v>31</v>
      </c>
      <c r="S35" s="55" t="n">
        <f aca="false">IF(N35&gt;=F35,A35,"")</f>
        <v>31</v>
      </c>
      <c r="T35" s="55" t="n">
        <f aca="false">IF(O35&gt;=F35,A35,"")</f>
        <v>31</v>
      </c>
      <c r="U35" s="55" t="n">
        <f aca="false">IF(P35&gt;=F35,A35,"")</f>
        <v>31</v>
      </c>
    </row>
    <row r="36" customFormat="false" ht="15" hidden="false" customHeight="false" outlineLevel="0" collapsed="false">
      <c r="A36" s="55" t="n">
        <v>32</v>
      </c>
      <c r="B36" s="55" t="n">
        <f aca="false">ROUNDUP(A36/12,0)</f>
        <v>3</v>
      </c>
      <c r="C36" s="31" t="n">
        <f aca="false">IF(A36&lt;=3,Costs!$D$12/3,IF(AND(A36&gt;=13,A36&lt;=15),Costs!$D$18/3,0))</f>
        <v>0</v>
      </c>
      <c r="D36" s="31" t="n">
        <f aca="false">IF(B36=1,Costs!$B$28/12,Costs!$C$28/12)</f>
        <v>5093.75</v>
      </c>
      <c r="E36" s="31" t="n">
        <f aca="false">C36+D36</f>
        <v>5093.75</v>
      </c>
      <c r="F36" s="31" t="n">
        <f aca="false">F35+E36</f>
        <v>1030000</v>
      </c>
      <c r="G36" s="31" t="n">
        <f aca="false">IF(A36&lt;=3,0,IF(B36=1,Benefits!$G$11*Assumptions!$B$41/9,Benefits!$G$11/12))</f>
        <v>177717.948717949</v>
      </c>
      <c r="H36" s="31" t="n">
        <f aca="false">IF(A36&lt;=3,0,IF(B36=1,Benefits!$G$12*Assumptions!$B$41/9,Benefits!$G$12/12))</f>
        <v>247435.897435897</v>
      </c>
      <c r="I36" s="31" t="n">
        <f aca="false">IF(A36&lt;=3,0,IF(B36=1,Benefits!$G$13*Assumptions!$B$41/9,Benefits!$G$13/12))</f>
        <v>352012.820512821</v>
      </c>
      <c r="J36" s="31" t="n">
        <f aca="false">IF(A36&lt;=3,0,IF(B36=1,Benefits!$G$14*Assumptions!$B$41/9,Benefits!$G$14/12))</f>
        <v>139435.897435897</v>
      </c>
      <c r="K36" s="31" t="n">
        <f aca="false">IF(A36&lt;=3,0,IF(B36=1,Benefits!$G$15*Assumptions!$B$41/9,Benefits!$G$15/12))</f>
        <v>108000</v>
      </c>
      <c r="L36" s="31" t="n">
        <f aca="false">L35+G36</f>
        <v>4407405.12820513</v>
      </c>
      <c r="M36" s="31" t="n">
        <f aca="false">M35+H36</f>
        <v>6136410.25641025</v>
      </c>
      <c r="N36" s="31" t="n">
        <f aca="false">N35+I36</f>
        <v>8729917.94871794</v>
      </c>
      <c r="O36" s="31" t="n">
        <f aca="false">O35+J36</f>
        <v>3458010.25641026</v>
      </c>
      <c r="P36" s="31" t="n">
        <f aca="false">P35+K36</f>
        <v>2678400</v>
      </c>
      <c r="Q36" s="55" t="n">
        <f aca="false">IF(L36&gt;=F36,A36,"")</f>
        <v>32</v>
      </c>
      <c r="R36" s="55" t="n">
        <f aca="false">IF(M36&gt;=F36,A36,"")</f>
        <v>32</v>
      </c>
      <c r="S36" s="55" t="n">
        <f aca="false">IF(N36&gt;=F36,A36,"")</f>
        <v>32</v>
      </c>
      <c r="T36" s="55" t="n">
        <f aca="false">IF(O36&gt;=F36,A36,"")</f>
        <v>32</v>
      </c>
      <c r="U36" s="55" t="n">
        <f aca="false">IF(P36&gt;=F36,A36,"")</f>
        <v>32</v>
      </c>
    </row>
    <row r="37" customFormat="false" ht="15" hidden="false" customHeight="false" outlineLevel="0" collapsed="false">
      <c r="A37" s="55" t="n">
        <v>33</v>
      </c>
      <c r="B37" s="55" t="n">
        <f aca="false">ROUNDUP(A37/12,0)</f>
        <v>3</v>
      </c>
      <c r="C37" s="31" t="n">
        <f aca="false">IF(A37&lt;=3,Costs!$D$12/3,IF(AND(A37&gt;=13,A37&lt;=15),Costs!$D$18/3,0))</f>
        <v>0</v>
      </c>
      <c r="D37" s="31" t="n">
        <f aca="false">IF(B37=1,Costs!$B$28/12,Costs!$C$28/12)</f>
        <v>5093.75</v>
      </c>
      <c r="E37" s="31" t="n">
        <f aca="false">C37+D37</f>
        <v>5093.75</v>
      </c>
      <c r="F37" s="31" t="n">
        <f aca="false">F36+E37</f>
        <v>1035093.75</v>
      </c>
      <c r="G37" s="31" t="n">
        <f aca="false">IF(A37&lt;=3,0,IF(B37=1,Benefits!$G$11*Assumptions!$B$41/9,Benefits!$G$11/12))</f>
        <v>177717.948717949</v>
      </c>
      <c r="H37" s="31" t="n">
        <f aca="false">IF(A37&lt;=3,0,IF(B37=1,Benefits!$G$12*Assumptions!$B$41/9,Benefits!$G$12/12))</f>
        <v>247435.897435897</v>
      </c>
      <c r="I37" s="31" t="n">
        <f aca="false">IF(A37&lt;=3,0,IF(B37=1,Benefits!$G$13*Assumptions!$B$41/9,Benefits!$G$13/12))</f>
        <v>352012.820512821</v>
      </c>
      <c r="J37" s="31" t="n">
        <f aca="false">IF(A37&lt;=3,0,IF(B37=1,Benefits!$G$14*Assumptions!$B$41/9,Benefits!$G$14/12))</f>
        <v>139435.897435897</v>
      </c>
      <c r="K37" s="31" t="n">
        <f aca="false">IF(A37&lt;=3,0,IF(B37=1,Benefits!$G$15*Assumptions!$B$41/9,Benefits!$G$15/12))</f>
        <v>108000</v>
      </c>
      <c r="L37" s="31" t="n">
        <f aca="false">L36+G37</f>
        <v>4585123.07692308</v>
      </c>
      <c r="M37" s="31" t="n">
        <f aca="false">M36+H37</f>
        <v>6383846.15384615</v>
      </c>
      <c r="N37" s="31" t="n">
        <f aca="false">N36+I37</f>
        <v>9081930.76923076</v>
      </c>
      <c r="O37" s="31" t="n">
        <f aca="false">O36+J37</f>
        <v>3597446.15384616</v>
      </c>
      <c r="P37" s="31" t="n">
        <f aca="false">P36+K37</f>
        <v>2786400</v>
      </c>
      <c r="Q37" s="55" t="n">
        <f aca="false">IF(L37&gt;=F37,A37,"")</f>
        <v>33</v>
      </c>
      <c r="R37" s="55" t="n">
        <f aca="false">IF(M37&gt;=F37,A37,"")</f>
        <v>33</v>
      </c>
      <c r="S37" s="55" t="n">
        <f aca="false">IF(N37&gt;=F37,A37,"")</f>
        <v>33</v>
      </c>
      <c r="T37" s="55" t="n">
        <f aca="false">IF(O37&gt;=F37,A37,"")</f>
        <v>33</v>
      </c>
      <c r="U37" s="55" t="n">
        <f aca="false">IF(P37&gt;=F37,A37,"")</f>
        <v>33</v>
      </c>
    </row>
    <row r="38" customFormat="false" ht="15" hidden="false" customHeight="false" outlineLevel="0" collapsed="false">
      <c r="A38" s="55" t="n">
        <v>34</v>
      </c>
      <c r="B38" s="55" t="n">
        <f aca="false">ROUNDUP(A38/12,0)</f>
        <v>3</v>
      </c>
      <c r="C38" s="31" t="n">
        <f aca="false">IF(A38&lt;=3,Costs!$D$12/3,IF(AND(A38&gt;=13,A38&lt;=15),Costs!$D$18/3,0))</f>
        <v>0</v>
      </c>
      <c r="D38" s="31" t="n">
        <f aca="false">IF(B38=1,Costs!$B$28/12,Costs!$C$28/12)</f>
        <v>5093.75</v>
      </c>
      <c r="E38" s="31" t="n">
        <f aca="false">C38+D38</f>
        <v>5093.75</v>
      </c>
      <c r="F38" s="31" t="n">
        <f aca="false">F37+E38</f>
        <v>1040187.5</v>
      </c>
      <c r="G38" s="31" t="n">
        <f aca="false">IF(A38&lt;=3,0,IF(B38=1,Benefits!$G$11*Assumptions!$B$41/9,Benefits!$G$11/12))</f>
        <v>177717.948717949</v>
      </c>
      <c r="H38" s="31" t="n">
        <f aca="false">IF(A38&lt;=3,0,IF(B38=1,Benefits!$G$12*Assumptions!$B$41/9,Benefits!$G$12/12))</f>
        <v>247435.897435897</v>
      </c>
      <c r="I38" s="31" t="n">
        <f aca="false">IF(A38&lt;=3,0,IF(B38=1,Benefits!$G$13*Assumptions!$B$41/9,Benefits!$G$13/12))</f>
        <v>352012.820512821</v>
      </c>
      <c r="J38" s="31" t="n">
        <f aca="false">IF(A38&lt;=3,0,IF(B38=1,Benefits!$G$14*Assumptions!$B$41/9,Benefits!$G$14/12))</f>
        <v>139435.897435897</v>
      </c>
      <c r="K38" s="31" t="n">
        <f aca="false">IF(A38&lt;=3,0,IF(B38=1,Benefits!$G$15*Assumptions!$B$41/9,Benefits!$G$15/12))</f>
        <v>108000</v>
      </c>
      <c r="L38" s="31" t="n">
        <f aca="false">L37+G38</f>
        <v>4762841.02564102</v>
      </c>
      <c r="M38" s="31" t="n">
        <f aca="false">M37+H38</f>
        <v>6631282.05128205</v>
      </c>
      <c r="N38" s="31" t="n">
        <f aca="false">N37+I38</f>
        <v>9433943.58974358</v>
      </c>
      <c r="O38" s="31" t="n">
        <f aca="false">O37+J38</f>
        <v>3736882.05128205</v>
      </c>
      <c r="P38" s="31" t="n">
        <f aca="false">P37+K38</f>
        <v>2894400</v>
      </c>
      <c r="Q38" s="55" t="n">
        <f aca="false">IF(L38&gt;=F38,A38,"")</f>
        <v>34</v>
      </c>
      <c r="R38" s="55" t="n">
        <f aca="false">IF(M38&gt;=F38,A38,"")</f>
        <v>34</v>
      </c>
      <c r="S38" s="55" t="n">
        <f aca="false">IF(N38&gt;=F38,A38,"")</f>
        <v>34</v>
      </c>
      <c r="T38" s="55" t="n">
        <f aca="false">IF(O38&gt;=F38,A38,"")</f>
        <v>34</v>
      </c>
      <c r="U38" s="55" t="n">
        <f aca="false">IF(P38&gt;=F38,A38,"")</f>
        <v>34</v>
      </c>
    </row>
    <row r="39" customFormat="false" ht="15" hidden="false" customHeight="false" outlineLevel="0" collapsed="false">
      <c r="A39" s="55" t="n">
        <v>35</v>
      </c>
      <c r="B39" s="55" t="n">
        <f aca="false">ROUNDUP(A39/12,0)</f>
        <v>3</v>
      </c>
      <c r="C39" s="31" t="n">
        <f aca="false">IF(A39&lt;=3,Costs!$D$12/3,IF(AND(A39&gt;=13,A39&lt;=15),Costs!$D$18/3,0))</f>
        <v>0</v>
      </c>
      <c r="D39" s="31" t="n">
        <f aca="false">IF(B39=1,Costs!$B$28/12,Costs!$C$28/12)</f>
        <v>5093.75</v>
      </c>
      <c r="E39" s="31" t="n">
        <f aca="false">C39+D39</f>
        <v>5093.75</v>
      </c>
      <c r="F39" s="31" t="n">
        <f aca="false">F38+E39</f>
        <v>1045281.25</v>
      </c>
      <c r="G39" s="31" t="n">
        <f aca="false">IF(A39&lt;=3,0,IF(B39=1,Benefits!$G$11*Assumptions!$B$41/9,Benefits!$G$11/12))</f>
        <v>177717.948717949</v>
      </c>
      <c r="H39" s="31" t="n">
        <f aca="false">IF(A39&lt;=3,0,IF(B39=1,Benefits!$G$12*Assumptions!$B$41/9,Benefits!$G$12/12))</f>
        <v>247435.897435897</v>
      </c>
      <c r="I39" s="31" t="n">
        <f aca="false">IF(A39&lt;=3,0,IF(B39=1,Benefits!$G$13*Assumptions!$B$41/9,Benefits!$G$13/12))</f>
        <v>352012.820512821</v>
      </c>
      <c r="J39" s="31" t="n">
        <f aca="false">IF(A39&lt;=3,0,IF(B39=1,Benefits!$G$14*Assumptions!$B$41/9,Benefits!$G$14/12))</f>
        <v>139435.897435897</v>
      </c>
      <c r="K39" s="31" t="n">
        <f aca="false">IF(A39&lt;=3,0,IF(B39=1,Benefits!$G$15*Assumptions!$B$41/9,Benefits!$G$15/12))</f>
        <v>108000</v>
      </c>
      <c r="L39" s="31" t="n">
        <f aca="false">L38+G39</f>
        <v>4940558.97435897</v>
      </c>
      <c r="M39" s="31" t="n">
        <f aca="false">M38+H39</f>
        <v>6878717.94871795</v>
      </c>
      <c r="N39" s="31" t="n">
        <f aca="false">N38+I39</f>
        <v>9785956.4102564</v>
      </c>
      <c r="O39" s="31" t="n">
        <f aca="false">O38+J39</f>
        <v>3876317.94871795</v>
      </c>
      <c r="P39" s="31" t="n">
        <f aca="false">P38+K39</f>
        <v>3002400</v>
      </c>
      <c r="Q39" s="55" t="n">
        <f aca="false">IF(L39&gt;=F39,A39,"")</f>
        <v>35</v>
      </c>
      <c r="R39" s="55" t="n">
        <f aca="false">IF(M39&gt;=F39,A39,"")</f>
        <v>35</v>
      </c>
      <c r="S39" s="55" t="n">
        <f aca="false">IF(N39&gt;=F39,A39,"")</f>
        <v>35</v>
      </c>
      <c r="T39" s="55" t="n">
        <f aca="false">IF(O39&gt;=F39,A39,"")</f>
        <v>35</v>
      </c>
      <c r="U39" s="55" t="n">
        <f aca="false">IF(P39&gt;=F39,A39,"")</f>
        <v>35</v>
      </c>
    </row>
    <row r="40" customFormat="false" ht="15" hidden="false" customHeight="false" outlineLevel="0" collapsed="false">
      <c r="A40" s="55" t="n">
        <v>36</v>
      </c>
      <c r="B40" s="55" t="n">
        <f aca="false">ROUNDUP(A40/12,0)</f>
        <v>3</v>
      </c>
      <c r="C40" s="31" t="n">
        <f aca="false">IF(A40&lt;=3,Costs!$D$12/3,IF(AND(A40&gt;=13,A40&lt;=15),Costs!$D$18/3,0))</f>
        <v>0</v>
      </c>
      <c r="D40" s="31" t="n">
        <f aca="false">IF(B40=1,Costs!$B$28/12,Costs!$C$28/12)</f>
        <v>5093.75</v>
      </c>
      <c r="E40" s="31" t="n">
        <f aca="false">C40+D40</f>
        <v>5093.75</v>
      </c>
      <c r="F40" s="31" t="n">
        <f aca="false">F39+E40</f>
        <v>1050375</v>
      </c>
      <c r="G40" s="31" t="n">
        <f aca="false">IF(A40&lt;=3,0,IF(B40=1,Benefits!$G$11*Assumptions!$B$41/9,Benefits!$G$11/12))</f>
        <v>177717.948717949</v>
      </c>
      <c r="H40" s="31" t="n">
        <f aca="false">IF(A40&lt;=3,0,IF(B40=1,Benefits!$G$12*Assumptions!$B$41/9,Benefits!$G$12/12))</f>
        <v>247435.897435897</v>
      </c>
      <c r="I40" s="31" t="n">
        <f aca="false">IF(A40&lt;=3,0,IF(B40=1,Benefits!$G$13*Assumptions!$B$41/9,Benefits!$G$13/12))</f>
        <v>352012.820512821</v>
      </c>
      <c r="J40" s="31" t="n">
        <f aca="false">IF(A40&lt;=3,0,IF(B40=1,Benefits!$G$14*Assumptions!$B$41/9,Benefits!$G$14/12))</f>
        <v>139435.897435897</v>
      </c>
      <c r="K40" s="31" t="n">
        <f aca="false">IF(A40&lt;=3,0,IF(B40=1,Benefits!$G$15*Assumptions!$B$41/9,Benefits!$G$15/12))</f>
        <v>108000</v>
      </c>
      <c r="L40" s="31" t="n">
        <f aca="false">L39+G40</f>
        <v>5118276.92307692</v>
      </c>
      <c r="M40" s="31" t="n">
        <f aca="false">M39+H40</f>
        <v>7126153.84615384</v>
      </c>
      <c r="N40" s="31" t="n">
        <f aca="false">N39+I40</f>
        <v>10137969.2307692</v>
      </c>
      <c r="O40" s="31" t="n">
        <f aca="false">O39+J40</f>
        <v>4015753.84615385</v>
      </c>
      <c r="P40" s="31" t="n">
        <f aca="false">P39+K40</f>
        <v>3110400</v>
      </c>
      <c r="Q40" s="55" t="n">
        <f aca="false">IF(L40&gt;=F40,A40,"")</f>
        <v>36</v>
      </c>
      <c r="R40" s="55" t="n">
        <f aca="false">IF(M40&gt;=F40,A40,"")</f>
        <v>36</v>
      </c>
      <c r="S40" s="55" t="n">
        <f aca="false">IF(N40&gt;=F40,A40,"")</f>
        <v>36</v>
      </c>
      <c r="T40" s="55" t="n">
        <f aca="false">IF(O40&gt;=F40,A40,"")</f>
        <v>36</v>
      </c>
      <c r="U40" s="55" t="n">
        <f aca="false">IF(P40&gt;=F40,A40,"")</f>
        <v>36</v>
      </c>
    </row>
    <row r="42" customFormat="false" ht="15" hidden="false" customHeight="false" outlineLevel="0" collapsed="false">
      <c r="A42" s="6" t="s">
        <v>234</v>
      </c>
      <c r="Q42" s="58" t="n">
        <f aca="false">IF(COUNT(Q5:Q40)=0,"none",MIN(Q5:Q40))</f>
        <v>12</v>
      </c>
      <c r="R42" s="58" t="n">
        <f aca="false">IF(COUNT(R5:R40)=0,"none",MIN(R5:R40))</f>
        <v>9</v>
      </c>
      <c r="S42" s="58" t="n">
        <f aca="false">IF(COUNT(S5:S40)=0,"none",MIN(S5:S40))</f>
        <v>7</v>
      </c>
      <c r="T42" s="58" t="n">
        <f aca="false">IF(COUNT(T5:T40)=0,"none",MIN(T5:T40))</f>
        <v>14</v>
      </c>
      <c r="U42" s="58" t="n">
        <f aca="false">IF(COUNT(U5:U40)=0,"none",MIN(U5:U40))</f>
        <v>16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4" min="2" style="1" width="15"/>
    <col collapsed="false" customWidth="true" hidden="false" outlineLevel="0" max="7" min="5" style="1" width="16"/>
    <col collapsed="false" customWidth="true" hidden="false" outlineLevel="0" max="8" min="8" style="1" width="9"/>
    <col collapsed="false" customWidth="true" hidden="false" outlineLevel="0" max="9" min="9" style="1" width="16"/>
    <col collapsed="false" customWidth="true" hidden="false" outlineLevel="0" max="10" min="10" style="1" width="12"/>
  </cols>
  <sheetData>
    <row r="1" customFormat="false" ht="21" hidden="false" customHeight="true" outlineLevel="0" collapsed="false">
      <c r="A1" s="2" t="s">
        <v>235</v>
      </c>
    </row>
    <row r="2" customFormat="false" ht="15" hidden="false" customHeight="false" outlineLevel="0" collapsed="false">
      <c r="A2" s="3" t="s">
        <v>236</v>
      </c>
    </row>
    <row r="4" customFormat="false" ht="16.5" hidden="false" customHeight="true" outlineLevel="0" collapsed="false">
      <c r="A4" s="4" t="s">
        <v>237</v>
      </c>
      <c r="B4" s="5"/>
      <c r="C4" s="5"/>
      <c r="D4" s="5"/>
      <c r="E4" s="5"/>
      <c r="F4" s="5"/>
      <c r="G4" s="5"/>
      <c r="H4" s="5"/>
      <c r="I4" s="5"/>
      <c r="J4" s="5"/>
    </row>
    <row r="5" customFormat="false" ht="15" hidden="false" customHeight="false" outlineLevel="0" collapsed="false">
      <c r="A5" s="27" t="s">
        <v>193</v>
      </c>
      <c r="B5" s="28" t="s">
        <v>238</v>
      </c>
      <c r="C5" s="28" t="s">
        <v>239</v>
      </c>
      <c r="D5" s="28" t="s">
        <v>240</v>
      </c>
      <c r="E5" s="28" t="s">
        <v>241</v>
      </c>
      <c r="F5" s="28" t="s">
        <v>242</v>
      </c>
      <c r="G5" s="28" t="s">
        <v>243</v>
      </c>
      <c r="H5" s="28" t="s">
        <v>244</v>
      </c>
      <c r="I5" s="28" t="s">
        <v>245</v>
      </c>
      <c r="J5" s="28" t="s">
        <v>26</v>
      </c>
    </row>
    <row r="6" customFormat="false" ht="15" hidden="false" customHeight="false" outlineLevel="0" collapsed="false">
      <c r="A6" s="12" t="s">
        <v>246</v>
      </c>
      <c r="B6" s="31" t="n">
        <f aca="false">Benefits!$G$11*Assumptions!$B$41</f>
        <v>853046.153846154</v>
      </c>
      <c r="C6" s="31" t="n">
        <f aca="false">Benefits!$G$11</f>
        <v>2132615.38461538</v>
      </c>
      <c r="D6" s="31" t="n">
        <f aca="false">Benefits!$G$11</f>
        <v>2132615.38461538</v>
      </c>
      <c r="E6" s="32" t="n">
        <f aca="false">SUM(B6:D6)</f>
        <v>5118276.92307692</v>
      </c>
      <c r="F6" s="31" t="n">
        <f aca="false">Costs!$E$34</f>
        <v>1050375</v>
      </c>
      <c r="G6" s="32" t="n">
        <f aca="false">E6-F6</f>
        <v>4067901.92307692</v>
      </c>
      <c r="H6" s="45" t="n">
        <f aca="false">IFERROR(E6/F6,"n/a")</f>
        <v>4.87280916156318</v>
      </c>
      <c r="I6" s="32" t="n">
        <f aca="false">(B6-Costs!$B$34)/(1+Assumptions!$B$7)^1+(C6-Costs!$C$34)/(1+Assumptions!$B$7)^2+(D6-Costs!$D$34)/(1+Assumptions!$B$7)^3</f>
        <v>3213451.84361093</v>
      </c>
      <c r="J6" s="59" t="n">
        <f aca="false">Payback!Q42</f>
        <v>12</v>
      </c>
    </row>
    <row r="7" customFormat="false" ht="15" hidden="false" customHeight="false" outlineLevel="0" collapsed="false">
      <c r="A7" s="34" t="s">
        <v>247</v>
      </c>
      <c r="B7" s="52" t="n">
        <f aca="false">Benefits!$G$12*Assumptions!$B$41</f>
        <v>1187692.30769231</v>
      </c>
      <c r="C7" s="52" t="n">
        <f aca="false">Benefits!$G$12</f>
        <v>2969230.76923077</v>
      </c>
      <c r="D7" s="52" t="n">
        <f aca="false">Benefits!$G$12</f>
        <v>2969230.76923077</v>
      </c>
      <c r="E7" s="36" t="n">
        <f aca="false">SUM(B7:D7)</f>
        <v>7126153.84615385</v>
      </c>
      <c r="F7" s="52" t="n">
        <f aca="false">Costs!$E$34</f>
        <v>1050375</v>
      </c>
      <c r="G7" s="36" t="n">
        <f aca="false">E7-F7</f>
        <v>6075778.84615385</v>
      </c>
      <c r="H7" s="47" t="n">
        <f aca="false">IFERROR(E7/F7,"n/a")</f>
        <v>6.78439019031665</v>
      </c>
      <c r="I7" s="36" t="n">
        <f aca="false">(B7-Costs!$B$34)/(1+Assumptions!$B$7)^1+(C7-Costs!$C$34)/(1+Assumptions!$B$7)^2+(D7-Costs!$D$34)/(1+Assumptions!$B$7)^3</f>
        <v>4837654.81419407</v>
      </c>
      <c r="J7" s="60" t="n">
        <f aca="false">Payback!R42</f>
        <v>9</v>
      </c>
    </row>
    <row r="8" customFormat="false" ht="15" hidden="false" customHeight="false" outlineLevel="0" collapsed="false">
      <c r="A8" s="12" t="s">
        <v>248</v>
      </c>
      <c r="B8" s="31" t="n">
        <f aca="false">Benefits!$G$13*Assumptions!$B$41</f>
        <v>1689661.53846154</v>
      </c>
      <c r="C8" s="31" t="n">
        <f aca="false">Benefits!$G$13</f>
        <v>4224153.84615385</v>
      </c>
      <c r="D8" s="31" t="n">
        <f aca="false">Benefits!$G$13</f>
        <v>4224153.84615385</v>
      </c>
      <c r="E8" s="32" t="n">
        <f aca="false">SUM(B8:D8)</f>
        <v>10137969.2307692</v>
      </c>
      <c r="F8" s="31" t="n">
        <f aca="false">Costs!$E$34</f>
        <v>1050375</v>
      </c>
      <c r="G8" s="32" t="n">
        <f aca="false">E8-F8</f>
        <v>9087594.23076923</v>
      </c>
      <c r="H8" s="45" t="n">
        <f aca="false">IFERROR(E8/F8,"n/a")</f>
        <v>9.65176173344685</v>
      </c>
      <c r="I8" s="32" t="n">
        <f aca="false">(B8-Costs!$B$34)/(1+Assumptions!$B$7)^1+(C8-Costs!$C$34)/(1+Assumptions!$B$7)^2+(D8-Costs!$D$34)/(1+Assumptions!$B$7)^3</f>
        <v>7273959.27006877</v>
      </c>
      <c r="J8" s="59" t="n">
        <f aca="false">Payback!S42</f>
        <v>7</v>
      </c>
    </row>
    <row r="9" customFormat="false" ht="15" hidden="false" customHeight="false" outlineLevel="0" collapsed="false">
      <c r="A9" s="61" t="s">
        <v>249</v>
      </c>
      <c r="B9" s="62" t="n">
        <f aca="false">Benefits!$G$14*Assumptions!$B$41</f>
        <v>669292.307692308</v>
      </c>
      <c r="C9" s="62" t="n">
        <f aca="false">Benefits!$G$14</f>
        <v>1673230.76923077</v>
      </c>
      <c r="D9" s="62" t="n">
        <f aca="false">Benefits!$G$14</f>
        <v>1673230.76923077</v>
      </c>
      <c r="E9" s="63" t="n">
        <f aca="false">SUM(B9:D9)</f>
        <v>4015753.84615385</v>
      </c>
      <c r="F9" s="62" t="n">
        <f aca="false">Costs!$E$34</f>
        <v>1050375</v>
      </c>
      <c r="G9" s="63" t="n">
        <f aca="false">E9-F9</f>
        <v>2965378.84615385</v>
      </c>
      <c r="H9" s="64" t="n">
        <f aca="false">IFERROR(E9/F9,"n/a")</f>
        <v>3.82316205750693</v>
      </c>
      <c r="I9" s="63" t="n">
        <f aca="false">(B9-Costs!$B$34)/(1+Assumptions!$B$7)^1+(C9-Costs!$C$34)/(1+Assumptions!$B$7)^2+(D9-Costs!$D$34)/(1+Assumptions!$B$7)^3</f>
        <v>2321603.72478761</v>
      </c>
      <c r="J9" s="65" t="n">
        <f aca="false">Payback!T42</f>
        <v>14</v>
      </c>
    </row>
    <row r="10" customFormat="false" ht="15" hidden="false" customHeight="false" outlineLevel="0" collapsed="false">
      <c r="A10" s="54" t="s">
        <v>250</v>
      </c>
      <c r="B10" s="31" t="n">
        <f aca="false">Benefits!$G$15*Assumptions!$B$41</f>
        <v>518400</v>
      </c>
      <c r="C10" s="31" t="n">
        <f aca="false">Benefits!$G$15</f>
        <v>1296000</v>
      </c>
      <c r="D10" s="31" t="n">
        <f aca="false">Benefits!$G$15</f>
        <v>1296000</v>
      </c>
      <c r="E10" s="32" t="n">
        <f aca="false">SUM(B10:D10)</f>
        <v>3110400</v>
      </c>
      <c r="F10" s="31" t="n">
        <f aca="false">Costs!$E$34</f>
        <v>1050375</v>
      </c>
      <c r="G10" s="32" t="n">
        <f aca="false">E10-F10</f>
        <v>2060025</v>
      </c>
      <c r="H10" s="45" t="n">
        <f aca="false">IFERROR(E10/F10,"n/a")</f>
        <v>2.96122813280971</v>
      </c>
      <c r="I10" s="32" t="n">
        <f aca="false">(B10-Costs!$B$34)/(1+Assumptions!$B$7)^1+(C10-Costs!$C$34)/(1+Assumptions!$B$7)^2+(D10-Costs!$D$34)/(1+Assumptions!$B$7)^3</f>
        <v>1589248.8730278</v>
      </c>
      <c r="J10" s="59" t="n">
        <f aca="false">Payback!U42</f>
        <v>16</v>
      </c>
    </row>
    <row r="12" customFormat="false" ht="16.5" hidden="false" customHeight="true" outlineLevel="0" collapsed="false">
      <c r="A12" s="4" t="s">
        <v>251</v>
      </c>
      <c r="B12" s="5"/>
      <c r="C12" s="5"/>
      <c r="D12" s="5"/>
      <c r="E12" s="5"/>
      <c r="F12" s="5"/>
      <c r="G12" s="5"/>
      <c r="H12" s="5"/>
      <c r="I12" s="5"/>
      <c r="J12" s="5"/>
    </row>
    <row r="13" customFormat="false" ht="33.75" hidden="false" customHeight="true" outlineLevel="0" collapsed="false">
      <c r="A13" s="66" t="s">
        <v>252</v>
      </c>
      <c r="B13" s="66"/>
      <c r="C13" s="66"/>
      <c r="D13" s="66"/>
      <c r="E13" s="66"/>
      <c r="F13" s="66"/>
      <c r="G13" s="66"/>
      <c r="H13" s="66"/>
      <c r="I13" s="66"/>
      <c r="J13" s="66"/>
    </row>
    <row r="15" customFormat="false" ht="16.5" hidden="false" customHeight="true" outlineLevel="0" collapsed="false">
      <c r="A15" s="4" t="s">
        <v>253</v>
      </c>
      <c r="B15" s="5"/>
      <c r="C15" s="5"/>
      <c r="D15" s="5"/>
      <c r="E15" s="5"/>
      <c r="F15" s="5"/>
      <c r="G15" s="5"/>
      <c r="H15" s="5"/>
      <c r="I15" s="5"/>
      <c r="J15" s="5"/>
    </row>
    <row r="16" customFormat="false" ht="15" hidden="false" customHeight="false" outlineLevel="0" collapsed="false">
      <c r="A16" s="27"/>
      <c r="B16" s="28" t="s">
        <v>254</v>
      </c>
      <c r="C16" s="28"/>
      <c r="D16" s="28" t="s">
        <v>255</v>
      </c>
    </row>
    <row r="17" customFormat="false" ht="30" hidden="false" customHeight="true" outlineLevel="0" collapsed="false">
      <c r="A17" s="12" t="s">
        <v>256</v>
      </c>
      <c r="B17" s="45" t="n">
        <f aca="false">IFERROR(Costs!$E$34/((1+1+Assumptions!$B$41)*(Assumptions!$B$34+Assumptions!$B$38*Benefits!$B$6)),"n/a")</f>
        <v>1.04625436741449</v>
      </c>
      <c r="D17" s="57" t="s">
        <v>257</v>
      </c>
      <c r="E17" s="57"/>
      <c r="F17" s="57"/>
      <c r="G17" s="57"/>
      <c r="H17" s="57"/>
      <c r="I17" s="57"/>
      <c r="J17" s="57"/>
    </row>
    <row r="18" customFormat="false" ht="15" hidden="false" customHeight="false" outlineLevel="0" collapsed="false">
      <c r="A18" s="12" t="s">
        <v>258</v>
      </c>
      <c r="B18" s="67" t="n">
        <f aca="false">IFERROR(B17/60,"n/a")</f>
        <v>0.0174375727902415</v>
      </c>
    </row>
    <row r="19" customFormat="false" ht="15" hidden="false" customHeight="false" outlineLevel="0" collapsed="false">
      <c r="A19" s="12" t="s">
        <v>259</v>
      </c>
      <c r="B19" s="46" t="n">
        <f aca="false">IF(Benefits!$B$7&lt;=0,"never",Costs!$E$34/Benefits!$B$7)</f>
        <v>0.810474537037037</v>
      </c>
      <c r="D19" s="14" t="s">
        <v>260</v>
      </c>
    </row>
  </sheetData>
  <mergeCells count="2">
    <mergeCell ref="A13:J13"/>
    <mergeCell ref="D17:J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3" min="2" style="1" width="18"/>
    <col collapsed="false" customWidth="true" hidden="false" outlineLevel="0" max="4" min="4" style="1" width="62"/>
  </cols>
  <sheetData>
    <row r="1" customFormat="false" ht="21" hidden="false" customHeight="true" outlineLevel="0" collapsed="false">
      <c r="A1" s="2" t="s">
        <v>28</v>
      </c>
    </row>
    <row r="2" customFormat="false" ht="15" hidden="false" customHeight="false" outlineLevel="0" collapsed="false">
      <c r="A2" s="3" t="s">
        <v>261</v>
      </c>
    </row>
    <row r="4" customFormat="false" ht="16.5" hidden="false" customHeight="true" outlineLevel="0" collapsed="false">
      <c r="A4" s="4" t="s">
        <v>262</v>
      </c>
      <c r="B4" s="5"/>
      <c r="C4" s="5"/>
      <c r="D4" s="5"/>
    </row>
    <row r="5" customFormat="false" ht="15" hidden="false" customHeight="false" outlineLevel="0" collapsed="false">
      <c r="A5" s="27" t="s">
        <v>263</v>
      </c>
      <c r="B5" s="28" t="s">
        <v>264</v>
      </c>
      <c r="C5" s="28" t="s">
        <v>265</v>
      </c>
      <c r="D5" s="28" t="s">
        <v>266</v>
      </c>
    </row>
    <row r="6" customFormat="false" ht="30" hidden="false" customHeight="true" outlineLevel="0" collapsed="false">
      <c r="A6" s="6" t="s">
        <v>267</v>
      </c>
      <c r="B6" s="32" t="n">
        <f aca="false">Costs!$E$34</f>
        <v>1050375</v>
      </c>
      <c r="C6" s="31" t="n">
        <f aca="false">B6-Costs!$E$34</f>
        <v>0</v>
      </c>
      <c r="D6" s="15" t="s">
        <v>268</v>
      </c>
    </row>
    <row r="7" customFormat="false" ht="30" hidden="false" customHeight="true" outlineLevel="0" collapsed="false">
      <c r="A7" s="12" t="s">
        <v>269</v>
      </c>
      <c r="B7" s="31" t="n">
        <f aca="false">Costs!$E$34+(Assumptions!$B$18+Assumptions!$B$24)*Assumptions!$B$12*0.25*(1+Assumptions!$B$8)</f>
        <v>1153875</v>
      </c>
      <c r="C7" s="31" t="n">
        <f aca="false">B7-Costs!$E$34</f>
        <v>103500</v>
      </c>
      <c r="D7" s="15" t="s">
        <v>270</v>
      </c>
    </row>
    <row r="8" customFormat="false" ht="30" hidden="false" customHeight="true" outlineLevel="0" collapsed="false">
      <c r="A8" s="12" t="s">
        <v>271</v>
      </c>
      <c r="B8" s="31" t="n">
        <f aca="false">Costs!$E$34+(Costs!$D$12+Costs!$D$18)</f>
        <v>1923375</v>
      </c>
      <c r="C8" s="31" t="n">
        <f aca="false">B8-Costs!$E$34</f>
        <v>873000</v>
      </c>
      <c r="D8" s="15" t="s">
        <v>272</v>
      </c>
    </row>
    <row r="9" customFormat="false" ht="30" hidden="false" customHeight="true" outlineLevel="0" collapsed="false">
      <c r="A9" s="12" t="s">
        <v>273</v>
      </c>
      <c r="B9" s="31" t="n">
        <f aca="false">Costs!$E$34+(Assumptions!$B$27*12+0)*(65-Assumptions!$B$5)</f>
        <v>1052475</v>
      </c>
      <c r="C9" s="31" t="n">
        <f aca="false">B9-Costs!$E$34</f>
        <v>2100</v>
      </c>
      <c r="D9" s="15" t="s">
        <v>274</v>
      </c>
    </row>
    <row r="10" customFormat="false" ht="30" hidden="false" customHeight="true" outlineLevel="0" collapsed="false">
      <c r="A10" s="12" t="s">
        <v>275</v>
      </c>
      <c r="B10" s="31" t="n">
        <f aca="false">Costs!$E$34+0.25*900000*2</f>
        <v>1500375</v>
      </c>
      <c r="C10" s="31" t="n">
        <f aca="false">B10-Costs!$E$34</f>
        <v>450000</v>
      </c>
      <c r="D10" s="15" t="s">
        <v>276</v>
      </c>
    </row>
    <row r="11" customFormat="false" ht="30" hidden="false" customHeight="true" outlineLevel="0" collapsed="false">
      <c r="A11" s="12" t="s">
        <v>277</v>
      </c>
      <c r="B11" s="31" t="n">
        <f aca="false">Costs!$E$34-Costs!$D$18</f>
        <v>888375</v>
      </c>
      <c r="C11" s="31" t="n">
        <f aca="false">B11-Costs!$E$34</f>
        <v>-162000</v>
      </c>
      <c r="D11" s="15" t="s">
        <v>278</v>
      </c>
    </row>
    <row r="13" customFormat="false" ht="16.5" hidden="false" customHeight="true" outlineLevel="0" collapsed="false">
      <c r="A13" s="4" t="s">
        <v>279</v>
      </c>
      <c r="B13" s="5"/>
      <c r="C13" s="5"/>
      <c r="D13" s="5"/>
    </row>
    <row r="14" customFormat="false" ht="15" hidden="false" customHeight="false" outlineLevel="0" collapsed="false">
      <c r="A14" s="27" t="s">
        <v>263</v>
      </c>
      <c r="B14" s="28" t="s">
        <v>241</v>
      </c>
      <c r="C14" s="28" t="s">
        <v>244</v>
      </c>
      <c r="D14" s="28" t="s">
        <v>266</v>
      </c>
    </row>
    <row r="15" customFormat="false" ht="30" hidden="false" customHeight="true" outlineLevel="0" collapsed="false">
      <c r="A15" s="6" t="s">
        <v>267</v>
      </c>
      <c r="B15" s="32" t="n">
        <f aca="false">Benefits!$G$12*(2+Assumptions!$B$41)</f>
        <v>7126153.84615385</v>
      </c>
      <c r="C15" s="46" t="n">
        <f aca="false">IFERROR(B15/Costs!$E$34,"n/a")</f>
        <v>6.78439019031664</v>
      </c>
      <c r="D15" s="15" t="s">
        <v>280</v>
      </c>
    </row>
    <row r="16" customFormat="false" ht="30" hidden="false" customHeight="true" outlineLevel="0" collapsed="false">
      <c r="A16" s="12" t="s">
        <v>281</v>
      </c>
      <c r="B16" s="31" t="n">
        <f aca="false">Benefits!$G$14*(2+Assumptions!$B$41)</f>
        <v>4015753.84615385</v>
      </c>
      <c r="C16" s="46" t="n">
        <f aca="false">IFERROR(B16/Costs!$E$34,"n/a")</f>
        <v>3.82316205750693</v>
      </c>
      <c r="D16" s="15" t="s">
        <v>282</v>
      </c>
    </row>
    <row r="17" customFormat="false" ht="30" hidden="false" customHeight="true" outlineLevel="0" collapsed="false">
      <c r="A17" s="12" t="s">
        <v>283</v>
      </c>
      <c r="B17" s="31" t="n">
        <f aca="false">Benefits!$G$15*(2+Assumptions!$B$41)</f>
        <v>3110400</v>
      </c>
      <c r="C17" s="46" t="n">
        <f aca="false">IFERROR(B17/Costs!$E$34,"n/a")</f>
        <v>2.96122813280971</v>
      </c>
      <c r="D17" s="15" t="s">
        <v>284</v>
      </c>
    </row>
    <row r="18" customFormat="false" ht="30" hidden="false" customHeight="true" outlineLevel="0" collapsed="false">
      <c r="A18" s="12" t="s">
        <v>285</v>
      </c>
      <c r="B18" s="31" t="n">
        <f aca="false">(Benefits!$E$12+Assumptions!$B$39/2*Assumptions!$B$40*Benefits!$B$5)*(2+Assumptions!$B$41)</f>
        <v>5570953.84615385</v>
      </c>
      <c r="C18" s="46" t="n">
        <f aca="false">IFERROR(B18/Costs!$E$34,"n/a")</f>
        <v>5.30377612391179</v>
      </c>
      <c r="D18" s="15" t="s">
        <v>286</v>
      </c>
    </row>
    <row r="19" customFormat="false" ht="30" hidden="false" customHeight="true" outlineLevel="0" collapsed="false">
      <c r="A19" s="12" t="s">
        <v>287</v>
      </c>
      <c r="B19" s="31" t="n">
        <f aca="false">(Benefits!$B$12*250000+Benefits!$D$12+Benefits!$B$7)*(2+Assumptions!$B$41)</f>
        <v>6166153.84615385</v>
      </c>
      <c r="C19" s="46" t="n">
        <f aca="false">IFERROR(B19/Costs!$E$34,"n/a")</f>
        <v>5.87043089006673</v>
      </c>
      <c r="D19" s="15" t="s">
        <v>288</v>
      </c>
    </row>
    <row r="21" customFormat="false" ht="51.75" hidden="false" customHeight="true" outlineLevel="0" collapsed="false">
      <c r="A21" s="68" t="s">
        <v>289</v>
      </c>
      <c r="B21" s="68"/>
      <c r="C21" s="68"/>
      <c r="D21" s="68"/>
    </row>
  </sheetData>
  <mergeCells count="1">
    <mergeCell ref="A21:D2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2026-08-31T08:03:07Z</dcterms:created>
  <dc:creator>openpyxl</dc:creator>
  <dc:description/>
  <dc:language>en-US</dc:language>
  <cp:lastModifiedBy/>
  <dcterms:modified xsi:type="dcterms:W3CDTF">2026-08-31T08:03:08Z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